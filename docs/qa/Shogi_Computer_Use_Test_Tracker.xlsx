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b01254474cc4ada" /></Relationships>
</file>

<file path=xl/workbook.xml><?xml version="1.0" encoding="utf-8"?>
<x:workbook xmlns:x="http://schemas.openxmlformats.org/spreadsheetml/2006/main">
  <x:sheets>
    <x:sheet xmlns:r="http://schemas.openxmlformats.org/officeDocument/2006/relationships" name="Dashboard" sheetId="1" r:id="Rb861aba4fd6349cc"/>
    <x:sheet xmlns:r="http://schemas.openxmlformats.org/officeDocument/2006/relationships" name="Test Cases" sheetId="2" r:id="R80bf6aff816a4117"/>
    <x:sheet xmlns:r="http://schemas.openxmlformats.org/officeDocument/2006/relationships" name="Execution" sheetId="3" r:id="Rdccd54d06d9f4954"/>
    <x:sheet xmlns:r="http://schemas.openxmlformats.org/officeDocument/2006/relationships" name="Issues" sheetId="4" r:id="R35abbdf4bc434240"/>
    <x:sheet xmlns:r="http://schemas.openxmlformats.org/officeDocument/2006/relationships" name="Lists" sheetId="5" r:id="R9be3ec276d564507"/>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yyyy-mm-dd"/>
    <x:numFmt numFmtId="201" formatCode="0%"/>
    <x:numFmt numFmtId="202" formatCode="0.0"/>
  </x:numFmts>
  <x:fonts count="10">
    <x:font>
      <x:sz val="11"/>
      <x:name val="Carlito"/>
    </x:font>
    <x:font>
      <x:b/>
      <x:sz val="18"/>
      <x:color rgb="FFFFFFFF"/>
      <x:name val="Carlito"/>
    </x:font>
    <x:font>
      <x:i/>
      <x:sz val="10"/>
      <x:color rgb="FF1F4E78"/>
      <x:name val="Carlito"/>
    </x:font>
    <x:font>
      <x:b/>
      <x:sz val="11"/>
      <x:color rgb="FF1F4E78"/>
      <x:name val="Carlito"/>
    </x:font>
    <x:font>
      <x:sz val="11"/>
      <x:color rgb="FF0563C1"/>
      <x:name val="Carlito"/>
    </x:font>
    <x:font>
      <x:b/>
      <x:sz val="11"/>
      <x:color rgb="FFFFFFFF"/>
      <x:name val="Carlito"/>
    </x:font>
    <x:font>
      <x:b/>
      <x:sz val="11"/>
      <x:color rgb="FF17365D"/>
      <x:name val="Carlito"/>
    </x:font>
    <x:font>
      <x:sz val="11"/>
      <x:color rgb="FF404040"/>
      <x:name val="Carlito"/>
    </x:font>
    <x:font>
      <x:b/>
      <x:sz val="15"/>
      <x:name val="Carlito"/>
    </x:font>
    <x:font>
      <x:sz val="10"/>
      <x:name val="Menlo"/>
    </x:font>
  </x:fonts>
  <x:fills count="8">
    <x:fill>
      <x:patternFill patternType="none"/>
    </x:fill>
    <x:fill>
      <x:patternFill patternType="gray125"/>
    </x:fill>
    <x:fill>
      <x:patternFill patternType="solid">
        <x:fgColor rgb="FF17365D"/>
      </x:patternFill>
    </x:fill>
    <x:fill>
      <x:patternFill patternType="solid">
        <x:fgColor rgb="FFEAF3F8"/>
      </x:patternFill>
    </x:fill>
    <x:fill>
      <x:patternFill patternType="solid">
        <x:fgColor rgb="FFD9EAF7"/>
      </x:patternFill>
    </x:fill>
    <x:fill>
      <x:patternFill patternType="solid">
        <x:fgColor rgb="FFFFF2CC"/>
      </x:patternFill>
    </x:fill>
    <x:fill>
      <x:patternFill patternType="solid">
        <x:fgColor rgb="FF1F4E78"/>
      </x:patternFill>
    </x:fill>
    <x:fill>
      <x:patternFill patternType="solid">
        <x:fgColor rgb="FFF2F2F2"/>
      </x:patternFill>
    </x:fill>
  </x:fills>
  <x:borders count="23">
    <x:border/>
    <x:border>
      <x:left style="thin">
        <x:color rgb="FFA6A6A6"/>
      </x:left>
      <x:top style="thin">
        <x:color rgb="FFA6A6A6"/>
      </x:top>
    </x:border>
    <x:border>
      <x:top style="thin">
        <x:color rgb="FFA6A6A6"/>
      </x:top>
    </x:border>
    <x:border>
      <x:right style="thin">
        <x:color rgb="FFA6A6A6"/>
      </x:right>
      <x:top style="thin">
        <x:color rgb="FFA6A6A6"/>
      </x:top>
    </x:border>
    <x:border>
      <x:left style="thin">
        <x:color rgb="FFA6A6A6"/>
      </x:left>
    </x:border>
    <x:border>
      <x:right style="thin">
        <x:color rgb="FFA6A6A6"/>
      </x:right>
    </x:border>
    <x:border>
      <x:left style="thin">
        <x:color rgb="FFA6A6A6"/>
      </x:left>
      <x:bottom style="thin">
        <x:color rgb="FFA6A6A6"/>
      </x:bottom>
    </x:border>
    <x:border>
      <x:bottom style="thin">
        <x:color rgb="FFA6A6A6"/>
      </x:bottom>
    </x:border>
    <x:border>
      <x:right style="thin">
        <x:color rgb="FFA6A6A6"/>
      </x:right>
      <x:bottom style="thin">
        <x:color rgb="FFA6A6A6"/>
      </x:bottom>
    </x:border>
    <x:border>
      <x:left style="thin">
        <x:color rgb="FFA6A6A6"/>
      </x:left>
      <x:top style="thin">
        <x:color rgb="FFA6A6A6"/>
      </x:top>
      <x:bottom style="thin">
        <x:color rgb="FFA6A6A6"/>
      </x:bottom>
    </x:border>
    <x:border>
      <x:top style="thin">
        <x:color rgb="FFA6A6A6"/>
      </x:top>
      <x:bottom style="thin">
        <x:color rgb="FFA6A6A6"/>
      </x:bottom>
    </x:border>
    <x:border>
      <x:right style="thin">
        <x:color rgb="FFA6A6A6"/>
      </x:right>
      <x:top style="thin">
        <x:color rgb="FFA6A6A6"/>
      </x:top>
      <x:bottom style="thin">
        <x:color rgb="FFA6A6A6"/>
      </x:bottom>
    </x:border>
    <x:border>
      <x:left style="thin">
        <x:color rgb="FFD9D9D9"/>
      </x:left>
      <x:top style="thin">
        <x:color rgb="FFD9D9D9"/>
      </x:top>
      <x:bottom style="thin">
        <x:color rgb="FFD9D9D9"/>
      </x:bottom>
    </x:border>
    <x:border>
      <x:top style="thin">
        <x:color rgb="FFD9D9D9"/>
      </x:top>
      <x:bottom style="thin">
        <x:color rgb="FFD9D9D9"/>
      </x:bottom>
    </x:border>
    <x:border>
      <x:right style="thin">
        <x:color rgb="FFD9D9D9"/>
      </x:right>
      <x:top style="thin">
        <x:color rgb="FFD9D9D9"/>
      </x:top>
      <x:bottom style="thin">
        <x:color rgb="FFD9D9D9"/>
      </x:bottom>
    </x:border>
    <x:border>
      <x:left style="thin">
        <x:color rgb="FFD9D9D9"/>
      </x:left>
      <x:top style="thin">
        <x:color rgb="FFD9D9D9"/>
      </x:top>
    </x:border>
    <x:border>
      <x:top style="thin">
        <x:color rgb="FFD9D9D9"/>
      </x:top>
    </x:border>
    <x:border>
      <x:right style="thin">
        <x:color rgb="FFD9D9D9"/>
      </x:right>
      <x:top style="thin">
        <x:color rgb="FFD9D9D9"/>
      </x:top>
    </x:border>
    <x:border>
      <x:left style="thin">
        <x:color rgb="FFD9D9D9"/>
      </x:left>
      <x:bottom style="thin">
        <x:color rgb="FFD9D9D9"/>
      </x:bottom>
    </x:border>
    <x:border>
      <x:bottom style="thin">
        <x:color rgb="FFD9D9D9"/>
      </x:bottom>
    </x:border>
    <x:border>
      <x:right style="thin">
        <x:color rgb="FFD9D9D9"/>
      </x:right>
      <x:bottom style="thin">
        <x:color rgb="FFD9D9D9"/>
      </x:bottom>
    </x:border>
    <x:border>
      <x:left style="thin">
        <x:color rgb="FFD9D9D9"/>
      </x:left>
    </x:border>
    <x:border>
      <x:right style="thin">
        <x:color rgb="FFD9D9D9"/>
      </x:right>
    </x:border>
  </x:borders>
  <x:cellStyleXfs count="1">
    <x:xf numFmtId="0" fontId="0" fillId="0" borderId="0"/>
  </x:cellStyleXfs>
  <x:cellXfs count="159">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vertical="center"/>
    </x:xf>
    <x:xf numFmtId="0" fontId="1" fillId="2" borderId="0" xfId="0" applyNumberFormat="1" applyFont="1" applyFill="1" applyBorder="1" applyAlignment="1">
      <x:alignment vertical="center" wrapText="1"/>
    </x:xf>
    <x:xf numFmtId="0" fontId="0" fillId="0"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vertical="center"/>
    </x:xf>
    <x:xf numFmtId="0" fontId="0" fillId="5" borderId="0" xfId="0" applyNumberFormat="1" applyFont="1" applyFill="1" applyBorder="1"/>
    <x:xf numFmtId="0" fontId="0" fillId="5" borderId="0" xfId="0" applyNumberFormat="1" applyFont="1" applyFill="1" applyBorder="1" applyAlignment="1">
      <x:alignment wrapText="1"/>
    </x:xf>
    <x:xf numFmtId="0" fontId="0" fillId="5" borderId="0" xfId="0" applyNumberFormat="1" applyFont="1" applyFill="1" applyBorder="1" applyAlignment="1">
      <x:alignment vertical="center" wrapText="1"/>
    </x:xf>
    <x:xf numFmtId="0" fontId="4" fillId="5" borderId="0" xfId="0" applyNumberFormat="1" applyFont="1" applyFill="1" applyBorder="1" applyAlignment="1">
      <x:alignment vertical="center" wrapText="1"/>
    </x:xf>
    <x:xf numFmtId="0" fontId="3" fillId="4" borderId="1" xfId="0" applyNumberFormat="1" applyFont="1" applyFill="1" applyBorder="1" applyAlignment="1">
      <x:alignment vertical="center"/>
    </x:xf>
    <x:xf numFmtId="0" fontId="4" fillId="5" borderId="2" xfId="0" applyNumberFormat="1" applyFont="1" applyFill="1" applyBorder="1" applyAlignment="1">
      <x:alignment vertical="center" wrapText="1"/>
    </x:xf>
    <x:xf numFmtId="0" fontId="0" fillId="5" borderId="2" xfId="0" applyNumberFormat="1" applyFont="1" applyFill="1" applyBorder="1" applyAlignment="1">
      <x:alignment vertical="center" wrapText="1"/>
    </x:xf>
    <x:xf numFmtId="0" fontId="0" fillId="5" borderId="3" xfId="0" applyNumberFormat="1" applyFont="1" applyFill="1" applyBorder="1" applyAlignment="1">
      <x:alignment vertical="center" wrapText="1"/>
    </x:xf>
    <x:xf numFmtId="0" fontId="3" fillId="4" borderId="4" xfId="0" applyNumberFormat="1" applyFont="1" applyFill="1" applyBorder="1" applyAlignment="1">
      <x:alignment vertical="center"/>
    </x:xf>
    <x:xf numFmtId="0" fontId="0" fillId="5" borderId="5" xfId="0" applyNumberFormat="1" applyFont="1" applyFill="1" applyBorder="1" applyAlignment="1">
      <x:alignment vertical="center" wrapText="1"/>
    </x:xf>
    <x:xf numFmtId="0" fontId="3" fillId="4" borderId="6" xfId="0" applyNumberFormat="1" applyFont="1" applyFill="1" applyBorder="1" applyAlignment="1">
      <x:alignment vertical="center"/>
    </x:xf>
    <x:xf numFmtId="0" fontId="0" fillId="5" borderId="7" xfId="0" applyNumberFormat="1" applyFont="1" applyFill="1" applyBorder="1" applyAlignment="1">
      <x:alignment vertical="center" wrapText="1"/>
    </x:xf>
    <x:xf numFmtId="0" fontId="0" fillId="5" borderId="8" xfId="0" applyNumberFormat="1" applyFont="1" applyFill="1" applyBorder="1" applyAlignment="1">
      <x:alignment vertical="center" wrapText="1"/>
    </x:xf>
    <x:xf numFmtId="200" fontId="0" fillId="5" borderId="0" xfId="0" applyNumberFormat="1" applyFont="1" applyFill="1" applyBorder="1" applyAlignment="1">
      <x:alignment vertical="center" wrapText="1"/>
    </x:xf>
    <x:xf numFmtId="200" fontId="0" fillId="5" borderId="5" xfId="0" applyNumberFormat="1" applyFont="1" applyFill="1" applyBorder="1" applyAlignment="1">
      <x:alignment vertical="center" wrapText="1"/>
    </x:xf>
    <x:xf numFmtId="0" fontId="0" fillId="6" borderId="0" xfId="0" applyNumberFormat="1" applyFont="1" applyFill="1" applyBorder="1"/>
    <x:xf numFmtId="0" fontId="5" fillId="6" borderId="0" xfId="0" applyNumberFormat="1" applyFont="1" applyFill="1" applyBorder="1"/>
    <x:xf numFmtId="0" fontId="5" fillId="6" borderId="9" xfId="0" applyNumberFormat="1" applyFont="1" applyFill="1" applyBorder="1"/>
    <x:xf numFmtId="0" fontId="5" fillId="6" borderId="10" xfId="0" applyNumberFormat="1" applyFont="1" applyFill="1" applyBorder="1"/>
    <x:xf numFmtId="0" fontId="5" fillId="6" borderId="11" xfId="0" applyNumberFormat="1" applyFont="1" applyFill="1" applyBorder="1"/>
    <x:xf numFmtId="0" fontId="5" fillId="6" borderId="9" xfId="0" applyNumberFormat="1" applyFont="1" applyFill="1" applyBorder="1" applyAlignment="1">
      <x:alignment wrapText="1"/>
    </x:xf>
    <x:xf numFmtId="0" fontId="5" fillId="6" borderId="10" xfId="0" applyNumberFormat="1" applyFont="1" applyFill="1" applyBorder="1" applyAlignment="1">
      <x:alignment wrapText="1"/>
    </x:xf>
    <x:xf numFmtId="0" fontId="5" fillId="6" borderId="11" xfId="0" applyNumberFormat="1" applyFont="1" applyFill="1" applyBorder="1" applyAlignment="1">
      <x:alignment wrapText="1"/>
    </x:xf>
    <x:xf numFmtId="0" fontId="5" fillId="6" borderId="9" xfId="0" applyNumberFormat="1" applyFont="1" applyFill="1" applyBorder="1" applyAlignment="1">
      <x:alignment horizontal="center" wrapText="1"/>
    </x:xf>
    <x:xf numFmtId="0" fontId="5" fillId="6" borderId="10" xfId="0" applyNumberFormat="1" applyFont="1" applyFill="1" applyBorder="1" applyAlignment="1">
      <x:alignment horizontal="center" wrapText="1"/>
    </x:xf>
    <x:xf numFmtId="0" fontId="5" fillId="6" borderId="11" xfId="0" applyNumberFormat="1" applyFont="1" applyFill="1" applyBorder="1" applyAlignment="1">
      <x:alignment horizontal="center" wrapText="1"/>
    </x:xf>
    <x:xf numFmtId="0" fontId="5" fillId="6" borderId="9" xfId="0" applyNumberFormat="1" applyFont="1" applyFill="1" applyBorder="1" applyAlignment="1">
      <x:alignment horizontal="center" vertical="center" wrapText="1"/>
    </x:xf>
    <x:xf numFmtId="0" fontId="5" fillId="6" borderId="10" xfId="0" applyNumberFormat="1" applyFont="1" applyFill="1" applyBorder="1" applyAlignment="1">
      <x:alignment horizontal="center" vertical="center" wrapText="1"/>
    </x:xf>
    <x:xf numFmtId="0" fontId="5" fillId="6" borderId="11" xfId="0" applyNumberFormat="1" applyFont="1" applyFill="1" applyBorder="1" applyAlignment="1">
      <x:alignment horizontal="center" vertical="center" wrapText="1"/>
    </x:xf>
    <x:xf numFmtId="0" fontId="0" fillId="0" borderId="12" xfId="0" applyNumberFormat="1" applyFont="1" applyFill="1" applyBorder="1"/>
    <x:xf numFmtId="0" fontId="0" fillId="0" borderId="13" xfId="0" applyNumberFormat="1" applyFont="1" applyFill="1" applyBorder="1"/>
    <x:xf numFmtId="0" fontId="0" fillId="0" borderId="14" xfId="0" applyNumberFormat="1" applyFont="1" applyFill="1" applyBorder="1"/>
    <x:xf numFmtId="0" fontId="0" fillId="0" borderId="12" xfId="0" applyNumberFormat="1" applyFont="1" applyFill="1" applyBorder="1" applyAlignment="1">
      <x:alignment wrapText="1"/>
    </x:xf>
    <x:xf numFmtId="0" fontId="0" fillId="0" borderId="13" xfId="0" applyNumberFormat="1" applyFont="1" applyFill="1" applyBorder="1" applyAlignment="1">
      <x:alignment wrapText="1"/>
    </x:xf>
    <x:xf numFmtId="0" fontId="0" fillId="0" borderId="14" xfId="0" applyNumberFormat="1" applyFont="1" applyFill="1" applyBorder="1" applyAlignment="1">
      <x:alignment wrapText="1"/>
    </x:xf>
    <x:xf numFmtId="0" fontId="0" fillId="0" borderId="12" xfId="0" applyNumberFormat="1" applyFont="1" applyFill="1" applyBorder="1" applyAlignment="1">
      <x:alignment vertical="top" wrapText="1"/>
    </x:xf>
    <x:xf numFmtId="0" fontId="0" fillId="0" borderId="13" xfId="0" applyNumberFormat="1" applyFont="1" applyFill="1" applyBorder="1" applyAlignment="1">
      <x:alignment vertical="top" wrapText="1"/>
    </x:xf>
    <x:xf numFmtId="0" fontId="0" fillId="0" borderId="14" xfId="0" applyNumberFormat="1" applyFont="1" applyFill="1" applyBorder="1" applyAlignment="1">
      <x:alignment vertical="top" wrapText="1"/>
    </x:xf>
    <x:xf numFmtId="0" fontId="0" fillId="3" borderId="13" xfId="0" applyNumberFormat="1" applyFont="1" applyFill="1" applyBorder="1" applyAlignment="1">
      <x:alignment vertical="top" wrapText="1"/>
    </x:xf>
    <x:xf numFmtId="0" fontId="0" fillId="3" borderId="14" xfId="0" applyNumberFormat="1" applyFont="1" applyFill="1" applyBorder="1" applyAlignment="1">
      <x:alignment vertical="top" wrapText="1"/>
    </x:xf>
    <x:xf numFmtId="0" fontId="6" fillId="3" borderId="13" xfId="0" applyNumberFormat="1" applyFont="1" applyFill="1" applyBorder="1" applyAlignment="1">
      <x:alignment vertical="top" wrapText="1"/>
    </x:xf>
    <x:xf numFmtId="0" fontId="6" fillId="3" borderId="14" xfId="0" applyNumberFormat="1" applyFont="1" applyFill="1" applyBorder="1" applyAlignment="1">
      <x:alignment vertical="top" wrapText="1"/>
    </x:xf>
    <x:xf numFmtId="0" fontId="6" fillId="3" borderId="13" xfId="0" applyNumberFormat="1" applyFont="1" applyFill="1" applyBorder="1" applyAlignment="1">
      <x:alignment horizontal="center" vertical="top" wrapText="1"/>
    </x:xf>
    <x:xf numFmtId="0" fontId="6" fillId="3" borderId="14" xfId="0" applyNumberFormat="1" applyFont="1" applyFill="1" applyBorder="1" applyAlignment="1">
      <x:alignment horizontal="center" vertical="top" wrapText="1"/>
    </x:xf>
    <x:xf numFmtId="201" fontId="6" fillId="3" borderId="13" xfId="0" applyNumberFormat="1" applyFont="1" applyFill="1" applyBorder="1" applyAlignment="1">
      <x:alignment horizontal="center" vertical="top" wrapText="1"/>
    </x:xf>
    <x:xf numFmtId="0" fontId="0" fillId="0" borderId="15" xfId="0" applyNumberFormat="1" applyFont="1" applyFill="1" applyBorder="1"/>
    <x:xf numFmtId="0" fontId="0" fillId="0" borderId="16" xfId="0" applyNumberFormat="1" applyFont="1" applyFill="1" applyBorder="1"/>
    <x:xf numFmtId="0" fontId="0" fillId="0" borderId="17" xfId="0" applyNumberFormat="1" applyFont="1" applyFill="1" applyBorder="1"/>
    <x:xf numFmtId="0" fontId="0" fillId="0" borderId="18" xfId="0" applyNumberFormat="1" applyFont="1" applyFill="1" applyBorder="1"/>
    <x:xf numFmtId="0" fontId="0" fillId="0" borderId="19" xfId="0" applyNumberFormat="1" applyFont="1" applyFill="1" applyBorder="1"/>
    <x:xf numFmtId="0" fontId="0" fillId="0" borderId="20" xfId="0" applyNumberFormat="1" applyFont="1" applyFill="1" applyBorder="1"/>
    <x:xf numFmtId="0" fontId="0" fillId="0" borderId="15" xfId="0" applyNumberFormat="1" applyFont="1" applyFill="1" applyBorder="1" applyAlignment="1">
      <x:alignment wrapText="1"/>
    </x:xf>
    <x:xf numFmtId="0" fontId="0" fillId="0" borderId="16" xfId="0" applyNumberFormat="1" applyFont="1" applyFill="1" applyBorder="1" applyAlignment="1">
      <x:alignment wrapText="1"/>
    </x:xf>
    <x:xf numFmtId="0" fontId="0" fillId="0" borderId="17" xfId="0" applyNumberFormat="1" applyFont="1" applyFill="1" applyBorder="1" applyAlignment="1">
      <x:alignment wrapText="1"/>
    </x:xf>
    <x:xf numFmtId="0" fontId="0" fillId="0" borderId="18" xfId="0" applyNumberFormat="1" applyFont="1" applyFill="1" applyBorder="1" applyAlignment="1">
      <x:alignment wrapText="1"/>
    </x:xf>
    <x:xf numFmtId="0" fontId="0" fillId="0" borderId="19" xfId="0" applyNumberFormat="1" applyFont="1" applyFill="1" applyBorder="1" applyAlignment="1">
      <x:alignment wrapText="1"/>
    </x:xf>
    <x:xf numFmtId="0" fontId="0" fillId="0" borderId="20" xfId="0" applyNumberFormat="1" applyFont="1" applyFill="1" applyBorder="1" applyAlignment="1">
      <x:alignment wrapText="1"/>
    </x:xf>
    <x:xf numFmtId="0" fontId="0" fillId="0" borderId="15" xfId="0" applyNumberFormat="1" applyFont="1" applyFill="1" applyBorder="1" applyAlignment="1">
      <x:alignment vertical="top" wrapText="1"/>
    </x:xf>
    <x:xf numFmtId="0" fontId="0" fillId="0" borderId="16" xfId="0" applyNumberFormat="1" applyFont="1" applyFill="1" applyBorder="1" applyAlignment="1">
      <x:alignment vertical="top" wrapText="1"/>
    </x:xf>
    <x:xf numFmtId="0" fontId="0" fillId="0" borderId="17" xfId="0" applyNumberFormat="1" applyFont="1" applyFill="1" applyBorder="1" applyAlignment="1">
      <x:alignment vertical="top" wrapText="1"/>
    </x:xf>
    <x:xf numFmtId="0" fontId="0" fillId="0" borderId="18" xfId="0" applyNumberFormat="1" applyFont="1" applyFill="1" applyBorder="1" applyAlignment="1">
      <x:alignment vertical="top" wrapText="1"/>
    </x:xf>
    <x:xf numFmtId="0" fontId="0" fillId="0" borderId="19" xfId="0" applyNumberFormat="1" applyFont="1" applyFill="1" applyBorder="1" applyAlignment="1">
      <x:alignment vertical="top" wrapText="1"/>
    </x:xf>
    <x:xf numFmtId="0" fontId="0" fillId="0" borderId="20" xfId="0" applyNumberFormat="1" applyFont="1" applyFill="1" applyBorder="1" applyAlignment="1">
      <x:alignment vertical="top" wrapText="1"/>
    </x:xf>
    <x:xf numFmtId="0" fontId="0" fillId="0" borderId="16" xfId="0" applyNumberFormat="1" applyFont="1" applyFill="1" applyBorder="1" applyAlignment="1">
      <x:alignment horizontal="center" vertical="top" wrapText="1"/>
    </x:xf>
    <x:xf numFmtId="0" fontId="0" fillId="0" borderId="17" xfId="0" applyNumberFormat="1" applyFont="1" applyFill="1" applyBorder="1" applyAlignment="1">
      <x:alignment horizontal="center" vertical="top" wrapText="1"/>
    </x:xf>
    <x:xf numFmtId="0" fontId="0" fillId="0" borderId="19" xfId="0" applyNumberFormat="1" applyFont="1" applyFill="1" applyBorder="1" applyAlignment="1">
      <x:alignment horizontal="center" vertical="top" wrapText="1"/>
    </x:xf>
    <x:xf numFmtId="0" fontId="0" fillId="0" borderId="20" xfId="0" applyNumberFormat="1" applyFont="1" applyFill="1" applyBorder="1" applyAlignment="1">
      <x:alignment horizontal="center" vertical="top" wrapText="1"/>
    </x:xf>
    <x:xf numFmtId="0" fontId="0" fillId="7" borderId="0" xfId="0" applyNumberFormat="1" applyFont="1" applyFill="1" applyBorder="1"/>
    <x:xf numFmtId="0" fontId="7" fillId="7" borderId="0" xfId="0" applyNumberFormat="1" applyFont="1" applyFill="1" applyBorder="1"/>
    <x:xf numFmtId="0" fontId="7" fillId="7" borderId="0" xfId="0" applyNumberFormat="1" applyFont="1" applyFill="1" applyBorder="1" applyAlignment="1">
      <x:alignment wrapText="1"/>
    </x:xf>
    <x:xf numFmtId="0" fontId="7" fillId="7" borderId="0" xfId="0" applyNumberFormat="1" applyFont="1" applyFill="1" applyBorder="1" applyAlignment="1">
      <x:alignment vertical="center" wrapText="1"/>
    </x:xf>
    <x:xf numFmtId="0" fontId="0" fillId="0" borderId="21" xfId="0" applyNumberFormat="1" applyFont="1" applyFill="1" applyBorder="1"/>
    <x:xf numFmtId="0" fontId="0" fillId="0" borderId="0" xfId="0" applyNumberFormat="1" applyFont="1" applyFill="1" applyBorder="1"/>
    <x:xf numFmtId="0" fontId="0" fillId="0" borderId="22" xfId="0" applyNumberFormat="1" applyFont="1" applyFill="1" applyBorder="1"/>
    <x:xf numFmtId="0" fontId="0" fillId="0" borderId="21" xfId="0" applyNumberFormat="1" applyFont="1" applyFill="1" applyBorder="1" applyAlignment="1">
      <x:alignment wrapText="1"/>
    </x:xf>
    <x:xf numFmtId="0" fontId="0" fillId="0" borderId="22" xfId="0" applyNumberFormat="1" applyFont="1" applyFill="1" applyBorder="1" applyAlignment="1">
      <x:alignment wrapText="1"/>
    </x:xf>
    <x:xf numFmtId="0" fontId="0" fillId="0" borderId="21"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0" fillId="0" borderId="22" xfId="0" applyNumberFormat="1" applyFont="1" applyFill="1" applyBorder="1" applyAlignment="1">
      <x:alignment vertical="top" wrapText="1"/>
    </x:xf>
    <x:xf numFmtId="0" fontId="6" fillId="0" borderId="15" xfId="0" applyNumberFormat="1" applyFont="1" applyFill="1" applyBorder="1" applyAlignment="1">
      <x:alignment vertical="top" wrapText="1"/>
    </x:xf>
    <x:xf numFmtId="0" fontId="6" fillId="0" borderId="16" xfId="0" applyNumberFormat="1" applyFont="1" applyFill="1" applyBorder="1" applyAlignment="1">
      <x:alignment vertical="top" wrapText="1"/>
    </x:xf>
    <x:xf numFmtId="0" fontId="6" fillId="0" borderId="21" xfId="0" applyNumberFormat="1" applyFont="1" applyFill="1" applyBorder="1" applyAlignment="1">
      <x:alignment vertical="top" wrapText="1"/>
    </x:xf>
    <x:xf numFmtId="0" fontId="6" fillId="0" borderId="0" xfId="0" applyNumberFormat="1" applyFont="1" applyFill="1" applyBorder="1" applyAlignment="1">
      <x:alignment vertical="top" wrapText="1"/>
    </x:xf>
    <x:xf numFmtId="0" fontId="6" fillId="0" borderId="18" xfId="0" applyNumberFormat="1" applyFont="1" applyFill="1" applyBorder="1" applyAlignment="1">
      <x:alignment vertical="top" wrapText="1"/>
    </x:xf>
    <x:xf numFmtId="0" fontId="6" fillId="0" borderId="19" xfId="0" applyNumberFormat="1" applyFont="1" applyFill="1" applyBorder="1" applyAlignment="1">
      <x:alignment vertical="top" wrapText="1"/>
    </x:xf>
    <x:xf numFmtId="0" fontId="0" fillId="0" borderId="0" xfId="0" applyNumberFormat="1" applyFont="1" applyFill="1" applyBorder="1" applyAlignment="1">
      <x:alignment horizontal="center" vertical="top" wrapText="1"/>
    </x:xf>
    <x:xf numFmtId="0" fontId="0" fillId="0" borderId="22" xfId="0" applyNumberFormat="1" applyFont="1" applyFill="1" applyBorder="1" applyAlignment="1">
      <x:alignment horizontal="center" vertical="top" wrapText="1"/>
    </x:xf>
    <x:xf numFmtId="0" fontId="0" fillId="5" borderId="16" xfId="0" applyNumberFormat="1" applyFont="1" applyFill="1" applyBorder="1" applyAlignment="1">
      <x:alignment horizontal="center" vertical="top" wrapText="1"/>
    </x:xf>
    <x:xf numFmtId="0" fontId="0" fillId="5" borderId="0" xfId="0" applyNumberFormat="1" applyFont="1" applyFill="1" applyBorder="1" applyAlignment="1">
      <x:alignment horizontal="center" vertical="top" wrapText="1"/>
    </x:xf>
    <x:xf numFmtId="0" fontId="0" fillId="5" borderId="19" xfId="0" applyNumberFormat="1" applyFont="1" applyFill="1" applyBorder="1" applyAlignment="1">
      <x:alignment horizontal="center" vertical="top" wrapText="1"/>
    </x:xf>
    <x:xf numFmtId="0" fontId="0" fillId="5" borderId="17" xfId="0" applyNumberFormat="1" applyFont="1" applyFill="1" applyBorder="1" applyAlignment="1">
      <x:alignment horizontal="center" vertical="top" wrapText="1"/>
    </x:xf>
    <x:xf numFmtId="0" fontId="0" fillId="5" borderId="22" xfId="0" applyNumberFormat="1" applyFont="1" applyFill="1" applyBorder="1" applyAlignment="1">
      <x:alignment horizontal="center" vertical="top" wrapText="1"/>
    </x:xf>
    <x:xf numFmtId="0" fontId="0" fillId="5" borderId="20" xfId="0" applyNumberFormat="1" applyFont="1" applyFill="1" applyBorder="1" applyAlignment="1">
      <x:alignment horizontal="center" vertical="top" wrapText="1"/>
    </x:xf>
    <x:xf numFmtId="0" fontId="0" fillId="7" borderId="15" xfId="0" applyNumberFormat="1" applyFont="1" applyFill="1" applyBorder="1" applyAlignment="1">
      <x:alignment vertical="top" wrapText="1"/>
    </x:xf>
    <x:xf numFmtId="0" fontId="0" fillId="7" borderId="16" xfId="0" applyNumberFormat="1" applyFont="1" applyFill="1" applyBorder="1" applyAlignment="1">
      <x:alignment vertical="top" wrapText="1"/>
    </x:xf>
    <x:xf numFmtId="0" fontId="0" fillId="7" borderId="21" xfId="0" applyNumberFormat="1" applyFont="1" applyFill="1" applyBorder="1" applyAlignment="1">
      <x:alignment vertical="top" wrapText="1"/>
    </x:xf>
    <x:xf numFmtId="0" fontId="0" fillId="7" borderId="0" xfId="0" applyNumberFormat="1" applyFont="1" applyFill="1" applyBorder="1" applyAlignment="1">
      <x:alignment vertical="top" wrapText="1"/>
    </x:xf>
    <x:xf numFmtId="0" fontId="0" fillId="7" borderId="18" xfId="0" applyNumberFormat="1" applyFont="1" applyFill="1" applyBorder="1" applyAlignment="1">
      <x:alignment vertical="top" wrapText="1"/>
    </x:xf>
    <x:xf numFmtId="0" fontId="0" fillId="7" borderId="19" xfId="0" applyNumberFormat="1" applyFont="1" applyFill="1" applyBorder="1" applyAlignment="1">
      <x:alignment vertical="top" wrapText="1"/>
    </x:xf>
    <x:xf numFmtId="0" fontId="8" fillId="7" borderId="16" xfId="0" applyNumberFormat="1" applyFont="1" applyFill="1" applyBorder="1" applyAlignment="1">
      <x:alignment vertical="top" wrapText="1"/>
    </x:xf>
    <x:xf numFmtId="0" fontId="8" fillId="7" borderId="0" xfId="0" applyNumberFormat="1" applyFont="1" applyFill="1" applyBorder="1" applyAlignment="1">
      <x:alignment vertical="top" wrapText="1"/>
    </x:xf>
    <x:xf numFmtId="0" fontId="8" fillId="7" borderId="19" xfId="0" applyNumberFormat="1" applyFont="1" applyFill="1" applyBorder="1" applyAlignment="1">
      <x:alignment vertical="top" wrapText="1"/>
    </x:xf>
    <x:xf numFmtId="0" fontId="8" fillId="7" borderId="16" xfId="0" applyNumberFormat="1" applyFont="1" applyFill="1" applyBorder="1" applyAlignment="1">
      <x:alignment horizontal="center" vertical="top" wrapText="1"/>
    </x:xf>
    <x:xf numFmtId="0" fontId="8" fillId="7" borderId="0" xfId="0" applyNumberFormat="1" applyFont="1" applyFill="1" applyBorder="1" applyAlignment="1">
      <x:alignment horizontal="center" vertical="top" wrapText="1"/>
    </x:xf>
    <x:xf numFmtId="0" fontId="8" fillId="7" borderId="19" xfId="0" applyNumberFormat="1" applyFont="1" applyFill="1" applyBorder="1" applyAlignment="1">
      <x:alignment horizontal="center" vertical="top" wrapText="1"/>
    </x:xf>
    <x:xf numFmtId="0" fontId="8" fillId="7" borderId="16" xfId="0" applyNumberFormat="1" applyFont="1" applyFill="1" applyBorder="1" applyAlignment="1">
      <x:alignment horizontal="center" vertical="center" wrapText="1"/>
    </x:xf>
    <x:xf numFmtId="0" fontId="8" fillId="7" borderId="0" xfId="0" applyNumberFormat="1" applyFont="1" applyFill="1" applyBorder="1" applyAlignment="1">
      <x:alignment horizontal="center" vertical="center" wrapText="1"/>
    </x:xf>
    <x:xf numFmtId="0" fontId="8" fillId="7" borderId="19" xfId="0" applyNumberFormat="1" applyFont="1" applyFill="1" applyBorder="1" applyAlignment="1">
      <x:alignment horizontal="center" vertical="center" wrapText="1"/>
    </x:xf>
    <x:xf numFmtId="0" fontId="0" fillId="5" borderId="16"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0" fillId="5" borderId="19" xfId="0" applyNumberFormat="1" applyFont="1" applyFill="1" applyBorder="1" applyAlignment="1">
      <x:alignment vertical="top" wrapText="1"/>
    </x:xf>
    <x:xf numFmtId="0" fontId="0" fillId="5" borderId="17" xfId="0" applyNumberFormat="1" applyFont="1" applyFill="1" applyBorder="1" applyAlignment="1">
      <x:alignment vertical="top" wrapText="1"/>
    </x:xf>
    <x:xf numFmtId="0" fontId="0" fillId="5" borderId="22" xfId="0" applyNumberFormat="1" applyFont="1" applyFill="1" applyBorder="1" applyAlignment="1">
      <x:alignment vertical="top" wrapText="1"/>
    </x:xf>
    <x:xf numFmtId="0" fontId="0" fillId="5" borderId="20" xfId="0" applyNumberFormat="1" applyFont="1" applyFill="1" applyBorder="1" applyAlignment="1">
      <x:alignment vertical="top" wrapText="1"/>
    </x:xf>
    <x:xf numFmtId="200" fontId="0" fillId="5" borderId="16" xfId="0" applyNumberFormat="1" applyFont="1" applyFill="1" applyBorder="1" applyAlignment="1">
      <x:alignment vertical="top" wrapText="1"/>
    </x:xf>
    <x:xf numFmtId="200" fontId="0" fillId="5" borderId="0" xfId="0" applyNumberFormat="1" applyFont="1" applyFill="1" applyBorder="1" applyAlignment="1">
      <x:alignment vertical="top" wrapText="1"/>
    </x:xf>
    <x:xf numFmtId="200" fontId="0" fillId="5" borderId="19" xfId="0" applyNumberFormat="1" applyFont="1" applyFill="1" applyBorder="1" applyAlignment="1">
      <x:alignment vertical="top" wrapText="1"/>
    </x:xf>
    <x:xf numFmtId="202" fontId="0" fillId="5" borderId="16" xfId="0" applyNumberFormat="1" applyFont="1" applyFill="1" applyBorder="1" applyAlignment="1">
      <x:alignment vertical="top" wrapText="1"/>
    </x:xf>
    <x:xf numFmtId="202" fontId="0" fillId="5" borderId="0" xfId="0" applyNumberFormat="1" applyFont="1" applyFill="1" applyBorder="1" applyAlignment="1">
      <x:alignment vertical="top" wrapText="1"/>
    </x:xf>
    <x:xf numFmtId="202" fontId="0" fillId="5" borderId="19" xfId="0" applyNumberFormat="1" applyFont="1" applyFill="1" applyBorder="1" applyAlignment="1">
      <x:alignment vertical="top" wrapText="1"/>
    </x:xf>
    <x:xf numFmtId="200" fontId="0" fillId="5" borderId="16" xfId="0" applyNumberFormat="1" applyFont="1" applyFill="1" applyBorder="1" applyAlignment="1">
      <x:alignment horizontal="center" vertical="top" wrapText="1"/>
    </x:xf>
    <x:xf numFmtId="0" fontId="0" fillId="7" borderId="16" xfId="0" applyNumberFormat="1" applyFont="1" applyFill="1" applyBorder="1" applyAlignment="1">
      <x:alignment horizontal="center" vertical="top" wrapText="1"/>
    </x:xf>
    <x:xf numFmtId="202" fontId="0" fillId="5" borderId="16" xfId="0" applyNumberFormat="1" applyFont="1" applyFill="1" applyBorder="1" applyAlignment="1">
      <x:alignment horizontal="center" vertical="top" wrapText="1"/>
    </x:xf>
    <x:xf numFmtId="200" fontId="0" fillId="5" borderId="0" xfId="0" applyNumberFormat="1" applyFont="1" applyFill="1" applyBorder="1" applyAlignment="1">
      <x:alignment horizontal="center" vertical="top" wrapText="1"/>
    </x:xf>
    <x:xf numFmtId="0" fontId="0" fillId="7" borderId="0" xfId="0" applyNumberFormat="1" applyFont="1" applyFill="1" applyBorder="1" applyAlignment="1">
      <x:alignment horizontal="center" vertical="top" wrapText="1"/>
    </x:xf>
    <x:xf numFmtId="202" fontId="0" fillId="5" borderId="0" xfId="0" applyNumberFormat="1" applyFont="1" applyFill="1" applyBorder="1" applyAlignment="1">
      <x:alignment horizontal="center" vertical="top" wrapText="1"/>
    </x:xf>
    <x:xf numFmtId="200" fontId="0" fillId="5" borderId="19" xfId="0" applyNumberFormat="1" applyFont="1" applyFill="1" applyBorder="1" applyAlignment="1">
      <x:alignment horizontal="center" vertical="top" wrapText="1"/>
    </x:xf>
    <x:xf numFmtId="0" fontId="0" fillId="7" borderId="19" xfId="0" applyNumberFormat="1" applyFont="1" applyFill="1" applyBorder="1" applyAlignment="1">
      <x:alignment horizontal="center" vertical="top" wrapText="1"/>
    </x:xf>
    <x:xf numFmtId="202" fontId="0" fillId="5" borderId="19" xfId="0" applyNumberFormat="1" applyFont="1" applyFill="1" applyBorder="1" applyAlignment="1">
      <x:alignment horizontal="center" vertical="top" wrapText="1"/>
    </x:xf>
    <x:xf numFmtId="0" fontId="0" fillId="5" borderId="15" xfId="0" applyNumberFormat="1" applyFont="1" applyFill="1" applyBorder="1" applyAlignment="1">
      <x:alignment vertical="top" wrapText="1"/>
    </x:xf>
    <x:xf numFmtId="0" fontId="0" fillId="5" borderId="21" xfId="0" applyNumberFormat="1" applyFont="1" applyFill="1" applyBorder="1" applyAlignment="1">
      <x:alignment vertical="top" wrapText="1"/>
    </x:xf>
    <x:xf numFmtId="0" fontId="0" fillId="5" borderId="18" xfId="0" applyNumberFormat="1" applyFont="1" applyFill="1" applyBorder="1" applyAlignment="1">
      <x:alignment vertical="top" wrapText="1"/>
    </x:xf>
    <x:xf numFmtId="0" fontId="0" fillId="5" borderId="15" xfId="0" applyNumberFormat="1" applyFont="1" applyFill="1" applyBorder="1" applyAlignment="1">
      <x:alignment vertical="center" wrapText="1"/>
    </x:xf>
    <x:xf numFmtId="0" fontId="0" fillId="5" borderId="16" xfId="0" applyNumberFormat="1" applyFont="1" applyFill="1" applyBorder="1" applyAlignment="1">
      <x:alignment vertical="center" wrapText="1"/>
    </x:xf>
    <x:xf numFmtId="0" fontId="0" fillId="7" borderId="16" xfId="0" applyNumberFormat="1" applyFont="1" applyFill="1" applyBorder="1" applyAlignment="1">
      <x:alignment vertical="center" wrapText="1"/>
    </x:xf>
    <x:xf numFmtId="0" fontId="0" fillId="5" borderId="21" xfId="0" applyNumberFormat="1" applyFont="1" applyFill="1" applyBorder="1" applyAlignment="1">
      <x:alignment vertical="center" wrapText="1"/>
    </x:xf>
    <x:xf numFmtId="0" fontId="0" fillId="7" borderId="0" xfId="0" applyNumberFormat="1" applyFont="1" applyFill="1" applyBorder="1" applyAlignment="1">
      <x:alignment vertical="center" wrapText="1"/>
    </x:xf>
    <x:xf numFmtId="0" fontId="0" fillId="5" borderId="18" xfId="0" applyNumberFormat="1" applyFont="1" applyFill="1" applyBorder="1" applyAlignment="1">
      <x:alignment vertical="center" wrapText="1"/>
    </x:xf>
    <x:xf numFmtId="0" fontId="0" fillId="5" borderId="19" xfId="0" applyNumberFormat="1" applyFont="1" applyFill="1" applyBorder="1" applyAlignment="1">
      <x:alignment vertical="center" wrapText="1"/>
    </x:xf>
    <x:xf numFmtId="0" fontId="0" fillId="7" borderId="19" xfId="0" applyNumberFormat="1" applyFont="1" applyFill="1" applyBorder="1" applyAlignment="1">
      <x:alignment vertical="center" wrapText="1"/>
    </x:xf>
    <x:xf numFmtId="0" fontId="0" fillId="5" borderId="16" xfId="0" applyNumberFormat="1" applyFont="1" applyFill="1" applyBorder="1" applyAlignment="1">
      <x:alignment horizontal="center" vertical="center" wrapText="1"/>
    </x:xf>
    <x:xf numFmtId="0" fontId="0" fillId="5" borderId="0" xfId="0" applyNumberFormat="1" applyFont="1" applyFill="1" applyBorder="1" applyAlignment="1">
      <x:alignment horizontal="center" vertical="center" wrapText="1"/>
    </x:xf>
    <x:xf numFmtId="0" fontId="0" fillId="5" borderId="19" xfId="0" applyNumberFormat="1" applyFont="1" applyFill="1" applyBorder="1" applyAlignment="1">
      <x:alignment horizontal="center" vertical="center" wrapText="1"/>
    </x:xf>
    <x:xf numFmtId="0" fontId="9" fillId="7" borderId="0" xfId="0" applyNumberFormat="1" applyFont="1" applyFill="1" applyBorder="1"/>
    <x:xf numFmtId="0" fontId="9" fillId="7" borderId="0" xfId="0" applyNumberFormat="1" applyFont="1" applyFill="1" applyBorder="1" applyAlignment="1">
      <x:alignment wrapText="1"/>
    </x:xf>
    <x:xf numFmtId="0" fontId="9" fillId="7" borderId="0" xfId="0" applyNumberFormat="1" applyFont="1" applyFill="1" applyBorder="1" applyAlignment="1">
      <x:alignment vertical="top" wrapText="1"/>
    </x:xf>
  </x:cellXfs>
  <x:cellStyles count="1">
    <x:cellStyle name="Normal" xfId="0"/>
  </x:cellStyles>
  <x:dxfs count="13">
    <x:dxf>
      <x:font>
        <x:b/>
        <x:color rgb="FFFFFFFF"/>
      </x:font>
      <x:fill>
        <x:patternFill patternType="solid">
          <x:bgColor rgb="FFC00000"/>
        </x:patternFill>
      </x:fill>
    </x:dxf>
    <x:dxf>
      <x:font>
        <x:b/>
        <x:color rgb="FF9C0006"/>
      </x:font>
      <x:fill>
        <x:patternFill patternType="solid">
          <x:bgColor rgb="FFFCE4D6"/>
        </x:patternFill>
      </x:fill>
    </x:dxf>
    <x:dxf>
      <x:font>
        <x:b/>
        <x:color rgb="FF9C6500"/>
      </x:font>
      <x:fill>
        <x:patternFill patternType="solid">
          <x:bgColor rgb="FFFFF2CC"/>
        </x:patternFill>
      </x:fill>
    </x:dxf>
    <x:dxf>
      <x:font>
        <x:color rgb="FF1F4E78"/>
      </x:font>
      <x:fill>
        <x:patternFill patternType="solid">
          <x:bgColor rgb="FFD9EAF7"/>
        </x:patternFill>
      </x:fill>
    </x:dxf>
    <x:dxf>
      <x:font>
        <x:color rgb="FF666666"/>
      </x:font>
      <x:fill>
        <x:patternFill patternType="solid">
          <x:bgColor rgb="FFF2F2F2"/>
        </x:patternFill>
      </x:fill>
    </x:dxf>
    <x:dxf>
      <x:font>
        <x:b/>
        <x:color rgb="FF006100"/>
      </x:font>
      <x:fill>
        <x:patternFill patternType="solid">
          <x:bgColor rgb="FFE2F0D9"/>
        </x:patternFill>
      </x:fill>
    </x:dxf>
    <x:dxf>
      <x:font>
        <x:b/>
        <x:color rgb="FF9C0006"/>
      </x:font>
      <x:fill>
        <x:patternFill patternType="solid">
          <x:bgColor rgb="FFFCE4D6"/>
        </x:patternFill>
      </x:fill>
    </x:dxf>
    <x:dxf>
      <x:font>
        <x:b/>
        <x:color rgb="FF9C6500"/>
      </x:font>
      <x:fill>
        <x:patternFill patternType="solid">
          <x:bgColor rgb="FFFFF2CC"/>
        </x:patternFill>
      </x:fill>
    </x:dxf>
    <x:dxf>
      <x:font>
        <x:color rgb="FF666666"/>
      </x:font>
      <x:fill>
        <x:patternFill patternType="solid">
          <x:bgColor rgb="FFF2F2F2"/>
        </x:patternFill>
      </x:fill>
    </x:dxf>
    <x:dxf>
      <x:font>
        <x:b/>
        <x:color rgb="FFFFFFFF"/>
      </x:font>
      <x:fill>
        <x:patternFill patternType="solid">
          <x:bgColor rgb="FFC00000"/>
        </x:patternFill>
      </x:fill>
    </x:dxf>
    <x:dxf>
      <x:font>
        <x:b/>
        <x:color rgb="FF9C0006"/>
      </x:font>
      <x:fill>
        <x:patternFill patternType="solid">
          <x:bgColor rgb="FFFCE4D6"/>
        </x:patternFill>
      </x:fill>
    </x:dxf>
    <x:dxf>
      <x:font>
        <x:b/>
        <x:color rgb="FF9C6500"/>
      </x:font>
      <x:fill>
        <x:patternFill patternType="solid">
          <x:bgColor rgb="FFFFF2CC"/>
        </x:patternFill>
      </x:fill>
    </x:dxf>
    <x:dxf>
      <x:font>
        <x:color rgb="FF1F4E78"/>
      </x:font>
      <x:fill>
        <x:patternFill patternType="solid">
          <x:bgColor rgb="FFD9EAF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a1f3bf575e504abc" /><Relationship Type="http://schemas.openxmlformats.org/officeDocument/2006/relationships/theme" Target="/xl/theme/theme1.xml" Id="Rb103d167fe8f41b2" /><Relationship Type="http://schemas.openxmlformats.org/officeDocument/2006/relationships/sharedStrings" Target="/xl/sharedStrings.xml" Id="R8bf2736bebf54fee" /><Relationship Type="http://schemas.openxmlformats.org/officeDocument/2006/relationships/worksheet" Target="/xl/worksheets/sheet1.xml" Id="Rb861aba4fd6349cc" /><Relationship Type="http://schemas.openxmlformats.org/officeDocument/2006/relationships/worksheet" Target="/xl/worksheets/sheet2.xml" Id="R80bf6aff816a4117" /><Relationship Type="http://schemas.openxmlformats.org/officeDocument/2006/relationships/worksheet" Target="/xl/worksheets/sheet3.xml" Id="Rdccd54d06d9f4954" /><Relationship Type="http://schemas.openxmlformats.org/officeDocument/2006/relationships/worksheet" Target="/xl/worksheets/sheet4.xml" Id="R35abbdf4bc434240" /><Relationship Type="http://schemas.openxmlformats.org/officeDocument/2006/relationships/worksheet" Target="/xl/worksheets/sheet5.xml" Id="R9be3ec276d564507" /></Relationships>
</file>

<file path=xl/tables/table1.xml><?xml version="1.0" encoding="utf-8"?>
<x:table xmlns:x="http://schemas.openxmlformats.org/spreadsheetml/2006/main" id="1" name="TestCasesTable" displayName="TestCasesTable" ref="A4:K22" headerRowCount="1" totalsRowCount="0" totalsRowShown="0">
  <x:tableColumns count="11">
    <x:tableColumn id="1" name="Test ID"/>
    <x:tableColumn id="2" name="カテゴリ"/>
    <x:tableColumn id="3" name="タイトル"/>
    <x:tableColumn id="4" name="目的"/>
    <x:tableColumn id="5" name="前提条件"/>
    <x:tableColumn id="6" name="操作手順"/>
    <x:tableColumn id="7" name="期待結果"/>
    <x:tableColumn id="8" name="UX観察ポイント"/>
    <x:tableColumn id="9" name="既定優先度"/>
    <x:tableColumn id="10" name="有効"/>
    <x:tableColumn id="11" name="自動化区分"/>
  </x:tableColumns>
  <x:tableStyleInfo name="TableStyleMedium2" showFirstColumn="0" showLastColumn="0" showRowStripes="1" showColumnStripes="0"/>
</x:table>
</file>

<file path=xl/tables/table2.xml><?xml version="1.0" encoding="utf-8"?>
<x:table xmlns:x="http://schemas.openxmlformats.org/spreadsheetml/2006/main" id="2" name="ExecutionTable" displayName="ExecutionTable" ref="A4:O40" headerRowCount="1" totalsRowCount="0" totalsRowShown="0">
  <x:tableColumns count="15">
    <x:tableColumn id="1" name="Run ID"/>
    <x:tableColumn id="2" name="Environment"/>
    <x:tableColumn id="3" name="Test Date"/>
    <x:tableColumn id="4" name="Tester"/>
    <x:tableColumn id="5" name="Test ID"/>
    <x:tableColumn id="6" name="Title"/>
    <x:tableColumn id="7" name="Status"/>
    <x:tableColumn id="8" name="Check"/>
    <x:tableColumn id="9" name="Duration (min)"/>
    <x:tableColumn id="10" name="Evidence"/>
    <x:tableColumn id="11" name="Observation"/>
    <x:tableColumn id="12" name="Issue ID"/>
    <x:tableColumn id="13" name="Blocker / Fail reason"/>
    <x:tableColumn id="14" name="Retest"/>
    <x:tableColumn id="15" name="Notes"/>
  </x:tableColumns>
  <x:tableStyleInfo name="TableStyleMedium2" showFirstColumn="0" showLastColumn="0" showRowStripes="1" showColumnStripes="0"/>
</x:table>
</file>

<file path=xl/tables/table3.xml><?xml version="1.0" encoding="utf-8"?>
<x:table xmlns:x="http://schemas.openxmlformats.org/spreadsheetml/2006/main" id="3" name="IssuesTable" displayName="IssuesTable" ref="A4:P54" headerRowCount="1" totalsRowCount="0" totalsRowShown="0">
  <x:tableColumns count="16">
    <x:tableColumn id="1" name="Issue ID"/>
    <x:tableColumn id="2" name="Test ID"/>
    <x:tableColumn id="3" name="Test Title"/>
    <x:tableColumn id="4" name="Priority"/>
    <x:tableColumn id="5" name="Type"/>
    <x:tableColumn id="6" name="Title"/>
    <x:tableColumn id="7" name="Observation (fact)"/>
    <x:tableColumn id="8" name="Expected"/>
    <x:tableColumn id="9" name="Repro Steps"/>
    <x:tableColumn id="10" name="Evidence"/>
    <x:tableColumn id="11" name="Recommendation"/>
    <x:tableColumn id="12" name="Status"/>
    <x:tableColumn id="13" name="Owner"/>
    <x:tableColumn id="14" name="Created Date"/>
    <x:tableColumn id="15" name="Resolved Date"/>
    <x:tableColumn id="16" name="Disposition"/>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d123702872394280" /></Relationships>
</file>

<file path=xl/worksheets/_rels/sheet3.xml.rels>&#65279;<?xml version="1.0" encoding="utf-8"?><Relationships xmlns="http://schemas.openxmlformats.org/package/2006/relationships"><Relationship Type="http://schemas.openxmlformats.org/officeDocument/2006/relationships/table" Target="/xl/tables/table2.xml" Id="Rb68bcfb1ce6e46a0" /></Relationships>
</file>

<file path=xl/worksheets/_rels/sheet4.xml.rels>&#65279;<?xml version="1.0" encoding="utf-8"?><Relationships xmlns="http://schemas.openxmlformats.org/package/2006/relationships"><Relationship Type="http://schemas.openxmlformats.org/officeDocument/2006/relationships/table" Target="/xl/tables/table3.xml" Id="R235db27457f946b8" /></Relationships>
</file>

<file path=xl/worksheets/sheet1.xml><?xml version="1.0" encoding="utf-8"?>
<x:worksheet xmlns:x="http://schemas.openxmlformats.org/spreadsheetml/2006/main">
  <x:sheetViews>
    <x:sheetView showGridLines="0" workbookViewId="0"/>
  </x:sheetViews>
  <x:sheetFormatPr defaultRowHeight="15"/>
  <x:cols>
    <x:col min="1" max="1" width="20" hidden="0" customWidth="1"/>
    <x:col min="2" max="2" width="24"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7" hidden="0" customWidth="1"/>
  </x:cols>
  <x:sheetData>
    <x:row r="1" ht="30" customHeight="1">
      <x:c r="A1" s="7" t="str">
        <x:v>将棋アプリ Computer Use テスト台帳</x:v>
      </x:c>
      <x:c r="B1" s="8"/>
      <x:c r="C1" s="8"/>
      <x:c r="D1" s="8"/>
      <x:c r="E1" s="8"/>
      <x:c r="F1" s="8"/>
      <x:c r="G1" s="8"/>
      <x:c r="H1" s="8"/>
      <x:c r="I1" s="8"/>
      <x:c r="J1" s="8"/>
    </x:row>
    <x:row r="2" ht="22" customHeight="1">
      <x:c r="A2" s="9" t="str">
        <x:v>実行状況・不具合・改善候補を一元管理する業務用ワークブック</x:v>
      </x:c>
      <x:c r="B2" s="8"/>
      <x:c r="C2" s="8"/>
      <x:c r="D2" s="8"/>
      <x:c r="E2" s="8"/>
      <x:c r="F2" s="8"/>
      <x:c r="G2" s="8"/>
      <x:c r="H2" s="8"/>
      <x:c r="I2" s="8"/>
      <x:c r="J2" s="8"/>
    </x:row>
    <x:row r="4" ht="22" customHeight="1">
      <x:c r="A4" s="17" t="str">
        <x:v>対象URL</x:v>
      </x:c>
      <x:c r="B4" s="18" t="str">
        <x:v>https://harutasti.github.io/Shogi/</x:v>
      </x:c>
      <x:c r="C4" s="19"/>
      <x:c r="D4" s="20"/>
    </x:row>
    <x:row r="5" ht="22" customHeight="1">
      <x:c r="A5" s="21" t="str">
        <x:v>対象リリース／コミット</x:v>
      </x:c>
      <x:c r="B5" s="15" t="str">
        <x:v>GitHub Pages 公開版（2026-07-20確認）</x:v>
      </x:c>
      <x:c r="C5" s="15"/>
      <x:c r="D5" s="22"/>
    </x:row>
    <x:row r="6" ht="22" customHeight="1">
      <x:c r="A6" s="21" t="str">
        <x:v>実行責任者</x:v>
      </x:c>
      <x:c r="B6" s="15" t="str">
        <x:v>Codex Computer Use</x:v>
      </x:c>
      <x:c r="C6" s="15"/>
      <x:c r="D6" s="22"/>
    </x:row>
    <x:row r="7" ht="22" customHeight="1">
      <x:c r="A7" s="21" t="str">
        <x:v>実行開始日</x:v>
      </x:c>
      <x:c r="B7" s="26" t="n">
        <x:v>46223</x:v>
      </x:c>
      <x:c r="C7" s="26"/>
      <x:c r="D7" s="27"/>
    </x:row>
    <x:row r="8" ht="34" customHeight="1">
      <x:c r="A8" s="23" t="str">
        <x:v>運用ルール</x:v>
      </x:c>
      <x:c r="B8" s="24" t="str">
        <x:v>黄色セルは入力欄。Fail／BlockedにはIssue IDまたは理由を残す。</x:v>
      </x:c>
      <x:c r="C8" s="24"/>
      <x:c r="D8" s="25"/>
    </x:row>
    <x:row r="10">
      <x:c r="A10" s="39" t="str">
        <x:v>指標</x:v>
      </x:c>
      <x:c r="B10" s="40" t="str">
        <x:v>総実行枠</x:v>
      </x:c>
      <x:c r="C10" s="40" t="str">
        <x:v>実施済</x:v>
      </x:c>
      <x:c r="D10" s="40" t="str">
        <x:v>Pass</x:v>
      </x:c>
      <x:c r="E10" s="40" t="str">
        <x:v>Fail</x:v>
      </x:c>
      <x:c r="F10" s="40" t="str">
        <x:v>Blocked</x:v>
      </x:c>
      <x:c r="G10" s="40" t="str">
        <x:v>N/A</x:v>
      </x:c>
      <x:c r="H10" s="40" t="str">
        <x:v>未実施</x:v>
      </x:c>
      <x:c r="I10" s="40" t="str">
        <x:v>完了率</x:v>
      </x:c>
      <x:c r="J10" s="41" t="str">
        <x:v>未解決P0/P1</x:v>
      </x:c>
    </x:row>
    <x:row r="11">
      <x:c r="A11" s="48" t="str">
        <x:v>RUN-001</x:v>
      </x:c>
      <x:c r="B11" s="55" t="n">
        <x:f>COUNTA('Execution'!$E$5:$E$40)</x:f>
        <x:v>36</x:v>
      </x:c>
      <x:c r="C11" s="55" t="n">
        <x:f>COUNTIF('Execution'!$G$5:$G$40,"&lt;&gt;Not Run")-COUNTBLANK('Execution'!$G$5:$G$40)</x:f>
        <x:v>26</x:v>
      </x:c>
      <x:c r="D11" s="55" t="n">
        <x:f>COUNTIF('Execution'!$G$5:$G$40,"Pass")</x:f>
        <x:v>19</x:v>
      </x:c>
      <x:c r="E11" s="55" t="n">
        <x:f>COUNTIF('Execution'!$G$5:$G$40,"Fail")</x:f>
        <x:v>6</x:v>
      </x:c>
      <x:c r="F11" s="55" t="n">
        <x:f>COUNTIF('Execution'!$G$5:$G$40,"Blocked")</x:f>
        <x:v>0</x:v>
      </x:c>
      <x:c r="G11" s="55" t="n">
        <x:f>COUNTIF('Execution'!$G$5:$G$40,"N/A")</x:f>
        <x:v>1</x:v>
      </x:c>
      <x:c r="H11" s="55" t="n">
        <x:f>COUNTIF('Execution'!$G$5:$G$40,"Not Run")+COUNTBLANK('Execution'!$G$5:$G$40)</x:f>
        <x:v>10</x:v>
      </x:c>
      <x:c r="I11" s="57" t="n">
        <x:f>IFERROR(C11/B11,0)</x:f>
        <x:v>0.7222222222222222</x:v>
      </x:c>
      <x:c r="J11" s="56" t="n">
        <x:f>COUNTIFS('Issues'!$D$5:$D$54,"P0",'Issues'!$L$5:$L$54,"&lt;&gt;Fixed",'Issues'!$L$5:$L$54,"&lt;&gt;Won't Fix",'Issues'!$A$5:$A$54,"&lt;&gt;")+COUNTIFS('Issues'!$D$5:$D$54,"P1",'Issues'!$L$5:$L$54,"&lt;&gt;Fixed",'Issues'!$L$5:$L$54,"&lt;&gt;Won't Fix",'Issues'!$A$5:$A$54,"&lt;&gt;")</x:f>
        <x:v>1</x:v>
      </x:c>
    </x:row>
    <x:row r="14">
      <x:c r="A14" s="39" t="str">
        <x:v>環境別サマリー</x:v>
      </x:c>
      <x:c r="B14" s="40" t="str">
        <x:v>対象</x:v>
      </x:c>
      <x:c r="C14" s="40" t="str">
        <x:v>Pass</x:v>
      </x:c>
      <x:c r="D14" s="40" t="str">
        <x:v>Fail</x:v>
      </x:c>
      <x:c r="E14" s="40" t="str">
        <x:v>Blocked</x:v>
      </x:c>
      <x:c r="F14" s="41" t="str">
        <x:v>未実施</x:v>
      </x:c>
    </x:row>
    <x:row r="15">
      <x:c r="A15" s="70" t="str">
        <x:v>ENV-01 Desktop</x:v>
      </x:c>
      <x:c r="B15" s="76" t="n">
        <x:f>COUNTIF('Execution'!$B$5:$B$40,A15)</x:f>
        <x:v>18</x:v>
      </x:c>
      <x:c r="C15" s="76" t="n">
        <x:f>COUNTIFS('Execution'!$B$5:$B$40,A15,'Execution'!$G$5:$G$40,"Pass")</x:f>
        <x:v>9</x:v>
      </x:c>
      <x:c r="D15" s="76" t="n">
        <x:f>COUNTIFS('Execution'!$B$5:$B$40,A15,'Execution'!$G$5:$G$40,"Fail")</x:f>
        <x:v>3</x:v>
      </x:c>
      <x:c r="E15" s="76" t="n">
        <x:f>COUNTIFS('Execution'!$B$5:$B$40,A15,'Execution'!$G$5:$G$40,"Blocked")</x:f>
        <x:v>0</x:v>
      </x:c>
      <x:c r="F15" s="77" t="n">
        <x:f>COUNTIFS('Execution'!$B$5:$B$40,A15,'Execution'!$G$5:$G$40,"Not Run")+COUNTIFS('Execution'!$B$5:$B$40,A15,'Execution'!$G$5:$G$40,"")</x:f>
        <x:v>5</x:v>
      </x:c>
    </x:row>
    <x:row r="16">
      <x:c r="A16" s="73" t="str">
        <x:v>ENV-02 Narrow</x:v>
      </x:c>
      <x:c r="B16" s="78" t="n">
        <x:f>COUNTIF('Execution'!$B$5:$B$40,A16)</x:f>
        <x:v>18</x:v>
      </x:c>
      <x:c r="C16" s="78" t="n">
        <x:f>COUNTIFS('Execution'!$B$5:$B$40,A16,'Execution'!$G$5:$G$40,"Pass")</x:f>
        <x:v>10</x:v>
      </x:c>
      <x:c r="D16" s="78" t="n">
        <x:f>COUNTIFS('Execution'!$B$5:$B$40,A16,'Execution'!$G$5:$G$40,"Fail")</x:f>
        <x:v>3</x:v>
      </x:c>
      <x:c r="E16" s="78" t="n">
        <x:f>COUNTIFS('Execution'!$B$5:$B$40,A16,'Execution'!$G$5:$G$40,"Blocked")</x:f>
        <x:v>0</x:v>
      </x:c>
      <x:c r="F16" s="79" t="n">
        <x:f>COUNTIFS('Execution'!$B$5:$B$40,A16,'Execution'!$G$5:$G$40,"Not Run")+COUNTIFS('Execution'!$B$5:$B$40,A16,'Execution'!$G$5:$G$40,"")</x:f>
        <x:v>5</x:v>
      </x:c>
    </x:row>
    <x:row r="19">
      <x:c r="A19" s="39" t="str">
        <x:v>業務上の使い方</x:v>
      </x:c>
      <x:c r="B19" s="40" t="str">
        <x:v>1</x:v>
      </x:c>
      <x:c r="C19" s="40" t="str">
        <x:v>2</x:v>
      </x:c>
      <x:c r="D19" s="40" t="str">
        <x:v>3</x:v>
      </x:c>
      <x:c r="E19" s="40" t="str">
        <x:v>4</x:v>
      </x:c>
      <x:c r="F19" s="41" t="str">
        <x:v>5</x:v>
      </x:c>
    </x:row>
    <x:row r="20" ht="46" customHeight="1">
      <x:c r="A20" s="48" t="str">
        <x:v>順序</x:v>
      </x:c>
      <x:c r="B20" s="49" t="str">
        <x:v>Test Casesで手順を確認</x:v>
      </x:c>
      <x:c r="C20" s="49" t="str">
        <x:v>Executionで判定・証拠を記録</x:v>
      </x:c>
      <x:c r="D20" s="49" t="str">
        <x:v>Fail/UX観察をIssuesへ起票</x:v>
      </x:c>
      <x:c r="E20" s="49" t="str">
        <x:v>Dashboardで進捗確認</x:v>
      </x:c>
      <x:c r="F20" s="50" t="str">
        <x:v>リリース判断と再テスト</x:v>
      </x:c>
    </x:row>
    <x:row r="23">
      <x:c r="A23" s="83" t="str">
        <x:v>CSV運用が必要な場合: Test Cases / Execution / Issues の各表を個別にCSVへエクスポートできます。ただし、入力規則・色・数式・複数表の関連付けは失われるため、日常運用の正本はこのExcelまたはGoogle Sheets版を推奨します。</x:v>
      </x:c>
      <x:c r="B23" s="83"/>
      <x:c r="C23" s="83"/>
      <x:c r="D23" s="83"/>
      <x:c r="E23" s="83"/>
      <x:c r="F23" s="83"/>
      <x:c r="G23" s="83"/>
      <x:c r="H23" s="83"/>
      <x:c r="I23" s="83"/>
      <x:c r="J23" s="83"/>
    </x:row>
    <x:row r="24">
      <x:c r="A24" s="83"/>
      <x:c r="B24" s="83"/>
      <x:c r="C24" s="83"/>
      <x:c r="D24" s="83"/>
      <x:c r="E24" s="83"/>
      <x:c r="F24" s="83"/>
      <x:c r="G24" s="83"/>
      <x:c r="H24" s="83"/>
      <x:c r="I24" s="83"/>
      <x:c r="J24" s="83"/>
    </x:row>
  </x:sheetData>
  <x:mergeCells>
    <x:mergeCell ref="A1:J1"/>
    <x:mergeCell ref="A2:J2"/>
    <x:mergeCell ref="B4:D4"/>
    <x:mergeCell ref="B5:D5"/>
    <x:mergeCell ref="B6:D6"/>
    <x:mergeCell ref="B7:D7"/>
    <x:mergeCell ref="B8:D8"/>
    <x:mergeCell ref="A23:J24"/>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 hidden="0" customWidth="1"/>
    <x:col min="2" max="2" width="17" hidden="0" customWidth="1"/>
    <x:col min="3" max="3" width="28" hidden="0" customWidth="1"/>
    <x:col min="4" max="4" width="31" hidden="0" customWidth="1"/>
    <x:col min="5" max="5" width="31" hidden="0" customWidth="1"/>
    <x:col min="6" max="6" width="52" hidden="0" customWidth="1"/>
    <x:col min="7" max="7" width="48" hidden="0" customWidth="1"/>
    <x:col min="8" max="8" width="46" hidden="0" customWidth="1"/>
    <x:col min="9" max="9" width="13" hidden="0" customWidth="1"/>
    <x:col min="10" max="10" width="10" hidden="0" customWidth="1"/>
    <x:col min="11" max="11" width="17" hidden="0" customWidth="1"/>
  </x:cols>
  <x:sheetData>
    <x:row r="1" ht="30" customHeight="1">
      <x:c r="A1" s="7" t="str">
        <x:v>テストケース台帳</x:v>
      </x:c>
      <x:c r="B1" s="8"/>
      <x:c r="C1" s="8"/>
      <x:c r="D1" s="8"/>
      <x:c r="E1" s="8"/>
      <x:c r="F1" s="8"/>
      <x:c r="G1" s="8"/>
      <x:c r="H1" s="8"/>
      <x:c r="I1" s="8"/>
      <x:c r="J1" s="8"/>
      <x:c r="K1" s="8"/>
    </x:row>
    <x:row r="2" ht="22" customHeight="1">
      <x:c r="A2" s="9" t="str">
        <x:v>仕様の正本。手順・期待結果・UX観察ポイントを変更するときはここを更新します。</x:v>
      </x:c>
      <x:c r="B2" s="8"/>
      <x:c r="C2" s="8"/>
      <x:c r="D2" s="8"/>
      <x:c r="E2" s="8"/>
      <x:c r="F2" s="8"/>
      <x:c r="G2" s="8"/>
      <x:c r="H2" s="8"/>
      <x:c r="I2" s="8"/>
      <x:c r="J2" s="8"/>
      <x:c r="K2" s="8"/>
    </x:row>
    <x:row r="4">
      <x:c r="A4" s="39" t="str">
        <x:v>Test ID</x:v>
      </x:c>
      <x:c r="B4" s="40" t="str">
        <x:v>カテゴリ</x:v>
      </x:c>
      <x:c r="C4" s="40" t="str">
        <x:v>タイトル</x:v>
      </x:c>
      <x:c r="D4" s="40" t="str">
        <x:v>目的</x:v>
      </x:c>
      <x:c r="E4" s="40" t="str">
        <x:v>前提条件</x:v>
      </x:c>
      <x:c r="F4" s="40" t="str">
        <x:v>操作手順</x:v>
      </x:c>
      <x:c r="G4" s="40" t="str">
        <x:v>期待結果</x:v>
      </x:c>
      <x:c r="H4" s="40" t="str">
        <x:v>UX観察ポイント</x:v>
      </x:c>
      <x:c r="I4" s="40" t="str">
        <x:v>既定優先度</x:v>
      </x:c>
      <x:c r="J4" s="40" t="str">
        <x:v>有効</x:v>
      </x:c>
      <x:c r="K4" s="41" t="str">
        <x:v>自動化区分</x:v>
      </x:c>
    </x:row>
    <x:row r="5" ht="88" customHeight="1">
      <x:c r="A5" s="92" t="str">
        <x:v>CU-01</x:v>
      </x:c>
      <x:c r="B5" s="93" t="str">
        <x:v>表示・初見性</x:v>
      </x:c>
      <x:c r="C5" s="93" t="str">
        <x:v>初回表示と第一印象</x:v>
      </x:c>
      <x:c r="D5" s="71" t="str">
        <x:v>読み込み成功と、初見での分かりやすさを確認する。</x:v>
      </x:c>
      <x:c r="E5" s="71" t="str">
        <x:v>公開URLへアクセスできること。</x:v>
      </x:c>
      <x:c r="F5" s="71" t="str">
        <x:v>1. 新しいタブで公開URLを開く
2. 操作せず画面全体を見る
3. 5秒以内に用途と最初の操作を判断する
4. 盤・駒・持ち駒・手番・設定・棋譜・解析領域を確認する</x:v>
      </x:c>
      <x:c r="G5" s="71" t="str">
        <x:v>9×9の盤と初期配置が欠けずに表示される。先後・手番・主要操作が分かり、横スクロールや重なりがない。</x:v>
      </x:c>
      <x:c r="H5" s="71" t="str">
        <x:v>最初に視線が向く場所、開始方法の明確さ、盤の向き、文字・コントラスト・余白・ボタン優先順位を観察する。</x:v>
      </x:c>
      <x:c r="I5" s="76" t="str">
        <x:v>P0</x:v>
      </x:c>
      <x:c r="J5" s="100" t="str">
        <x:v>Yes</x:v>
      </x:c>
      <x:c r="K5" s="103" t="str">
        <x:v>Manual Only</x:v>
      </x:c>
    </x:row>
    <x:row r="6" ht="88" customHeight="1">
      <x:c r="A6" s="94" t="str">
        <x:v>CU-02</x:v>
      </x:c>
      <x:c r="B6" s="95" t="str">
        <x:v>対局</x:v>
      </x:c>
      <x:c r="C6" s="95" t="str">
        <x:v>対局開始とプレイヤー設定</x:v>
      </x:c>
      <x:c r="D6" s="90" t="str">
        <x:v>対局条件を理解して開始できるか確認する。</x:v>
      </x:c>
      <x:c r="E6" s="90" t="str">
        <x:v>初期画面が正常表示されていること。</x:v>
      </x:c>
      <x:c r="F6" s="90" t="str">
        <x:v>1. 先手を『あなた』、後手を『AI 初級』にする
2. 新規対局を押す
3. 状態表示とボタンを確認する
4. 先後設定を入れ替えて再度開始する</x:v>
      </x:c>
      <x:c r="G6" s="90" t="str">
        <x:v>選択した設定で対局が始まり、人間側の手番が明確になる。AI先手時は初手を指し、棋譜・持ち駒・解析結果が初期化される。</x:v>
      </x:c>
      <x:c r="H6" s="90" t="str">
        <x:v>設定の適用タイミング、難易度名の分かりやすさ、対局中に変更可能に見えないかを観察する。</x:v>
      </x:c>
      <x:c r="I6" s="98" t="str">
        <x:v>P0</x:v>
      </x:c>
      <x:c r="J6" s="101" t="str">
        <x:v>Yes</x:v>
      </x:c>
      <x:c r="K6" s="104" t="str">
        <x:v>Candidate</x:v>
      </x:c>
    </x:row>
    <x:row r="7" ht="88" customHeight="1">
      <x:c r="A7" s="94" t="str">
        <x:v>CU-03</x:v>
      </x:c>
      <x:c r="B7" s="95" t="str">
        <x:v>対局</x:v>
      </x:c>
      <x:c r="C7" s="95" t="str">
        <x:v>駒選択・合法手・着手</x:v>
      </x:c>
      <x:c r="D7" s="90" t="str">
        <x:v>基本の一手を迷わず指せるか確認する。</x:v>
      </x:c>
      <x:c r="E7" s="90" t="str">
        <x:v>人間が先手の新規対局を開始済み。</x:v>
      </x:c>
      <x:c r="F7" s="90" t="str">
        <x:v>1. 先手の歩を選択する
2. 合法手表示を確認する
3. 選択解除する
4. 再選択して合法手へ動かす
5. AIの応手を待つ</x:v>
      </x:c>
      <x:c r="G7" s="90" t="str">
        <x:v>選択駒と合法手が区別でき、不正局面にならない。着手後に手番と棋譜が更新され、AI思考中と応手が分かる。</x:v>
      </x:c>
      <x:c r="H7" s="90" t="str">
        <x:v>合法手マーカー、選択・直前手・最善手の色、AI待機表示、マスのクリックしやすさを観察する。</x:v>
      </x:c>
      <x:c r="I7" s="98" t="str">
        <x:v>P0</x:v>
      </x:c>
      <x:c r="J7" s="101" t="str">
        <x:v>Yes</x:v>
      </x:c>
      <x:c r="K7" s="104" t="str">
        <x:v>Candidate</x:v>
      </x:c>
    </x:row>
    <x:row r="8" ht="88" customHeight="1">
      <x:c r="A8" s="94" t="str">
        <x:v>CU-04</x:v>
      </x:c>
      <x:c r="B8" s="95" t="str">
        <x:v>対局</x:v>
      </x:c>
      <x:c r="C8" s="95" t="str">
        <x:v>投了と新規対局</x:v>
      </x:c>
      <x:c r="D8" s="90" t="str">
        <x:v>対局終了と再開始の挙動を確認する。</x:v>
      </x:c>
      <x:c r="E8" s="90" t="str">
        <x:v>1手以上指していること。</x:v>
      </x:c>
      <x:c r="F8" s="90" t="str">
        <x:v>1. 投了を押す
2. 結果表示・盤操作・保存・解析ボタンを確認する
3. 新規対局を押す</x:v>
      </x:c>
      <x:c r="G8" s="90" t="str">
        <x:v>投了者と勝者が正しく表示される。終局後の棋譜操作と解析が可能で、新規対局により盤面と状態が初期化される。</x:v>
      </x:c>
      <x:c r="H8" s="90" t="str">
        <x:v>確認なし投了の不安、終局表示の強さ、新規対局による棋譜消失を予測できるかを観察する。</x:v>
      </x:c>
      <x:c r="I8" s="98" t="str">
        <x:v>P1</x:v>
      </x:c>
      <x:c r="J8" s="101" t="str">
        <x:v>Yes</x:v>
      </x:c>
      <x:c r="K8" s="104" t="str">
        <x:v>Candidate</x:v>
      </x:c>
    </x:row>
    <x:row r="9" ht="88" customHeight="1">
      <x:c r="A9" s="94" t="str">
        <x:v>CU-05</x:v>
      </x:c>
      <x:c r="B9" s="95" t="str">
        <x:v>盤操作</x:v>
      </x:c>
      <x:c r="C9" s="95" t="str">
        <x:v>盤反転</x:v>
      </x:c>
      <x:c r="D9" s="90" t="str">
        <x:v>盤反転時の座標・駒向き・操作整合性を確認する。</x:v>
      </x:c>
      <x:c r="E9" s="90" t="str">
        <x:v>初期局面が表示されていること。</x:v>
      </x:c>
      <x:c r="F9" s="90" t="str">
        <x:v>1. 初期局面で盤反転を押す
2. 筋・段、王／玉、先後の駒向きを見る
3. 反転状態で1手指す
4. 再度反転する</x:v>
      </x:c>
      <x:c r="G9" s="90" t="str">
        <x:v>盤・座標・駒が一貫して180度反転し、手前側が読みやすい。反転後も選択マスと着手結果が正しい。</x:v>
      </x:c>
      <x:c r="H9" s="90" t="str">
        <x:v>反転結果を即座に理解できるか、持ち駒と盤上駒の向きに違和感がないかを観察する。</x:v>
      </x:c>
      <x:c r="I9" s="98" t="str">
        <x:v>P1</x:v>
      </x:c>
      <x:c r="J9" s="101" t="str">
        <x:v>Yes</x:v>
      </x:c>
      <x:c r="K9" s="104" t="str">
        <x:v>Candidate</x:v>
      </x:c>
    </x:row>
    <x:row r="10" ht="88" customHeight="1">
      <x:c r="A10" s="94" t="str">
        <x:v>CU-06</x:v>
      </x:c>
      <x:c r="B10" s="95" t="str">
        <x:v>棋譜入出力</x:v>
      </x:c>
      <x:c r="C10" s="95" t="str">
        <x:v>KIF読込（正常系）</x:v>
      </x:c>
      <x:c r="D10" s="90" t="str">
        <x:v>外部棋譜を迷わず取り込めるか確認する。</x:v>
      </x:c>
      <x:c r="E10" s="90" t="str">
        <x:v>仕様書の正常なテスト用KIFを用意する。</x:v>
      </x:c>
      <x:c r="F10" s="90" t="str">
        <x:v>1. KIF読込を押す
2. テスト用KIFを貼り付ける
3. 読込を確定する
4. 盤面・手数・棋譜一覧・終局情報を確認する</x:v>
      </x:c>
      <x:c r="G10" s="90" t="str">
        <x:v>全5手として読み込まれ、3手目の角成と5手目の角打ちが反映される。成功通知があり、保存・共有・解析が使える。</x:v>
      </x:c>
      <x:c r="H10" s="90" t="str">
        <x:v>入力方法、確定とキャンセル、成功通知の見つけやすさを観察する。</x:v>
      </x:c>
      <x:c r="I10" s="98" t="str">
        <x:v>P0</x:v>
      </x:c>
      <x:c r="J10" s="101" t="str">
        <x:v>Yes</x:v>
      </x:c>
      <x:c r="K10" s="104" t="str">
        <x:v>Candidate</x:v>
      </x:c>
    </x:row>
    <x:row r="11" ht="88" customHeight="1">
      <x:c r="A11" s="94" t="str">
        <x:v>CU-07</x:v>
      </x:c>
      <x:c r="B11" s="95" t="str">
        <x:v>棋譜入出力</x:v>
      </x:c>
      <x:c r="C11" s="95" t="str">
        <x:v>KIF読込（異常系）</x:v>
      </x:c>
      <x:c r="D11" s="90" t="str">
        <x:v>入力エラーから復帰できるか確認する。</x:v>
      </x:c>
      <x:c r="E11" s="90" t="str">
        <x:v>仕様書の不正入力KIFと正常なKIFを用意する。</x:v>
      </x:c>
      <x:c r="F11" s="90" t="str">
        <x:v>1. KIF読込を開く
2. 不正KIFを貼り付ける
3. 読込を実行する
4. エラー後に正常KIFへ修正して再試行する</x:v>
      </x:c>
      <x:c r="G11" s="90" t="str">
        <x:v>アプリが停止せず失敗理由が表示され、元の局面が壊れない。入力を修正して再試行できる。</x:v>
      </x:c>
      <x:c r="H11" s="90" t="str">
        <x:v>エラー文が利用者向けか、入力欄の近くに十分な時間表示されるかを観察する。</x:v>
      </x:c>
      <x:c r="I11" s="98" t="str">
        <x:v>P1</x:v>
      </x:c>
      <x:c r="J11" s="101" t="str">
        <x:v>Yes</x:v>
      </x:c>
      <x:c r="K11" s="104" t="str">
        <x:v>Candidate</x:v>
      </x:c>
    </x:row>
    <x:row r="12" ht="88" customHeight="1">
      <x:c r="A12" s="94" t="str">
        <x:v>CU-08</x:v>
      </x:c>
      <x:c r="B12" s="95" t="str">
        <x:v>棋譜閲覧</x:v>
      </x:c>
      <x:c r="C12" s="95" t="str">
        <x:v>棋譜移動とキーボード操作</x:v>
      </x:c>
      <x:c r="D12" s="90" t="str">
        <x:v>過去局面の閲覧と現在位置の把握を確認する。</x:v>
      </x:c>
      <x:c r="E12" s="90" t="str">
        <x:v>正常なテスト用KIFを読み込み済み。</x:v>
      </x:c>
      <x:c r="F12" s="90" t="str">
        <x:v>1. |&lt;、&lt;、&gt;、&gt;| を順に使う
2. 棋譜一覧から任意の手を選ぶ
3. 左右矢印キーで局面を移動する</x:v>
      </x:c>
      <x:c r="G12" s="90" t="str">
        <x:v>盤面・現在手数・棋譜一覧の選択位置が同期する。先頭・末尾のボタンは適切に無効化され、矢印キーでも同じ結果になる。</x:v>
      </x:c>
      <x:c r="H12" s="90" t="str">
        <x:v>記号ボタンの意味、閲覧局面と最終局面の区別、長い棋譜で現在手を追えるかを観察する。</x:v>
      </x:c>
      <x:c r="I12" s="98" t="str">
        <x:v>P1</x:v>
      </x:c>
      <x:c r="J12" s="101" t="str">
        <x:v>Yes</x:v>
      </x:c>
      <x:c r="K12" s="104" t="str">
        <x:v>Candidate</x:v>
      </x:c>
    </x:row>
    <x:row r="13" ht="88" customHeight="1">
      <x:c r="A13" s="94" t="str">
        <x:v>CU-09</x:v>
      </x:c>
      <x:c r="B13" s="95" t="str">
        <x:v>解析</x:v>
      </x:c>
      <x:c r="C13" s="95" t="str">
        <x:v>棋譜解析と最善手</x:v>
      </x:c>
      <x:c r="D13" s="90" t="str">
        <x:v>解析開始から結果閲覧までの体験を確認する。</x:v>
      </x:c>
      <x:c r="E13" s="90" t="str">
        <x:v>正常なテスト用KIFを読み込み済み。</x:v>
      </x:c>
      <x:c r="F13" s="90" t="str">
        <x:v>1. 棋譜解析を押す
2. 進捗と中止操作を確認する
3. 完了まで待つ
4. 各局面で最善手・矢印・評価値・悪手表示を見る</x:v>
      </x:c>
      <x:c r="G13" s="90" t="str">
        <x:v>解析中表示と進捗があり、完了後に最善手が文字と矢印で示される。局面移動で最善手と評価が更新され、一致時は一致表示が出る。</x:v>
      </x:c>
      <x:c r="H13" s="90" t="str">
        <x:v>局面の前後、矢印の重なり、評価値の正負、待機体験、狭い幅での盤との距離を観察する。</x:v>
      </x:c>
      <x:c r="I13" s="98" t="str">
        <x:v>P0</x:v>
      </x:c>
      <x:c r="J13" s="101" t="str">
        <x:v>Yes</x:v>
      </x:c>
      <x:c r="K13" s="104" t="str">
        <x:v>Manual Only</x:v>
      </x:c>
    </x:row>
    <x:row r="14" ht="88" customHeight="1">
      <x:c r="A14" s="94" t="str">
        <x:v>CU-10</x:v>
      </x:c>
      <x:c r="B14" s="95" t="str">
        <x:v>共有</x:v>
      </x:c>
      <x:c r="C14" s="95" t="str">
        <x:v>URL共有</x:v>
      </x:c>
      <x:c r="D14" s="90" t="str">
        <x:v>棋譜共有の成功と復元性を確認する。</x:v>
      </x:c>
      <x:c r="E14" s="90" t="str">
        <x:v>1手以上の棋譜があること。</x:v>
      </x:c>
      <x:c r="F14" s="90" t="str">
        <x:v>1. URL共有を押す
2. 成功通知を確認する
3. コピーURLを新しいタブで開く
4. 手数・棋譜・最終局面を比較する</x:v>
      </x:c>
      <x:c r="G14" s="90" t="str">
        <x:v>コピー成功が通知され、新しいタブで同じ棋譜が復元される。ログインを要求されない。</x:v>
      </x:c>
      <x:c r="H14" s="90" t="str">
        <x:v>URLに棋譜が含まれることや共有範囲、コピー後の次の行動が分かるかを観察する。</x:v>
      </x:c>
      <x:c r="I14" s="98" t="str">
        <x:v>P1</x:v>
      </x:c>
      <x:c r="J14" s="101" t="str">
        <x:v>Yes</x:v>
      </x:c>
      <x:c r="K14" s="104" t="str">
        <x:v>Candidate</x:v>
      </x:c>
    </x:row>
    <x:row r="15" ht="88" customHeight="1">
      <x:c r="A15" s="94" t="str">
        <x:v>CU-11</x:v>
      </x:c>
      <x:c r="B15" s="95" t="str">
        <x:v>棋譜入出力</x:v>
      </x:c>
      <x:c r="C15" s="95" t="str">
        <x:v>KIF保存</x:v>
      </x:c>
      <x:c r="D15" s="90" t="str">
        <x:v>棋譜をファイルとして保存できるか確認する。</x:v>
      </x:c>
      <x:c r="E15" s="90" t="str">
        <x:v>1手以上の棋譜があること。</x:v>
      </x:c>
      <x:c r="F15" s="90" t="str">
        <x:v>1. KIF保存を押す
2. ダウンロード開始とファイル名を確認する
3. 保存したKIFを再度読み込む</x:v>
      </x:c>
      <x:c r="G15" s="90" t="str">
        <x:v>KIFが1件ダウンロードされ、再読込後に同じ手数と局面が復元される。</x:v>
      </x:c>
      <x:c r="H15" s="90" t="str">
        <x:v>ファイル名から内容を識別できるか、保存完了が画面上で分かるかを観察する。</x:v>
      </x:c>
      <x:c r="I15" s="98" t="str">
        <x:v>P1</x:v>
      </x:c>
      <x:c r="J15" s="101" t="str">
        <x:v>Yes</x:v>
      </x:c>
      <x:c r="K15" s="104" t="str">
        <x:v>Manual Only</x:v>
      </x:c>
    </x:row>
    <x:row r="16" ht="88" customHeight="1">
      <x:c r="A16" s="94" t="str">
        <x:v>CU-12</x:v>
      </x:c>
      <x:c r="B16" s="95" t="str">
        <x:v>レスポンシブ</x:v>
      </x:c>
      <x:c r="C16" s="95" t="str">
        <x:v>狭い画面での操作</x:v>
      </x:c>
      <x:c r="D16" s="90" t="str">
        <x:v>小さい画面でも主要フローが成立するか確認する。</x:v>
      </x:c>
      <x:c r="E16" s="90" t="str">
        <x:v>Chromeのウィンドウ幅をスマートフォン相当にできること。</x:v>
      </x:c>
      <x:c r="F16" s="90" t="str">
        <x:v>1. ウィンドウを狭める
2. 画面全体を確認する
3. 1手指し、棋譜を開き、解析を開始する
4. 盤反転を行う</x:v>
      </x:c>
      <x:c r="G16" s="90" t="str">
        <x:v>横スクロールなしで盤全体が見え、駒と座標を判別できる。操作部品が重ならず、盤上を誤タップしにくい。</x:v>
      </x:c>
      <x:c r="H16" s="90" t="str">
        <x:v>盤と手番・持ち駒の同時視認、解析結果までの距離、ヘッダーや説明文の占有を観察する。</x:v>
      </x:c>
      <x:c r="I16" s="98" t="str">
        <x:v>P0</x:v>
      </x:c>
      <x:c r="J16" s="101" t="str">
        <x:v>Yes</x:v>
      </x:c>
      <x:c r="K16" s="104" t="str">
        <x:v>Manual Only</x:v>
      </x:c>
    </x:row>
    <x:row r="17" ht="88" customHeight="1">
      <x:c r="A17" s="94" t="str">
        <x:v>CU-13</x:v>
      </x:c>
      <x:c r="B17" s="95" t="str">
        <x:v>アクセシビリティ</x:v>
      </x:c>
      <x:c r="C17" s="95" t="str">
        <x:v>キーボードフォーカスと読み上げ可能性</x:v>
      </x:c>
      <x:c r="D17" s="90" t="str">
        <x:v>マウス以外でも主要操作に到達できるか確認する。</x:v>
      </x:c>
      <x:c r="E17" s="90" t="str">
        <x:v>ページ先頭にフォーカスを置けること。</x:v>
      </x:c>
      <x:c r="F17" s="90" t="str">
        <x:v>1. Tabキーで移動する
2. フォーカス位置を目視確認する
3. 選択欄・主要ボタン・持ち駒へ到達する
4. 盤上マスにキーボードで到達できるか確認する</x:v>
      </x:c>
      <x:c r="G17" s="90" t="str">
        <x:v>フォーカス位置が視認でき、操作順が画面の読み順と大きく矛盾せず、各ボタンに意味のある名称がある。</x:v>
      </x:c>
      <x:c r="H17" s="90" t="str">
        <x:v>盤上操作がマウス専用でないか、無効ボタンがTab移動を妨げないかを観察する。</x:v>
      </x:c>
      <x:c r="I17" s="98" t="str">
        <x:v>P1</x:v>
      </x:c>
      <x:c r="J17" s="101" t="str">
        <x:v>Yes</x:v>
      </x:c>
      <x:c r="K17" s="104" t="str">
        <x:v>Manual Only</x:v>
      </x:c>
    </x:row>
    <x:row r="18" ht="88" customHeight="1">
      <x:c r="A18" s="94" t="str">
        <x:v>CU-14</x:v>
      </x:c>
      <x:c r="B18" s="95" t="str">
        <x:v>対局ルール</x:v>
      </x:c>
      <x:c r="C18" s="95" t="str">
        <x:v>成り・不成・強制成り</x:v>
      </x:c>
      <x:c r="D18" s="90" t="str">
        <x:v>成りの選択と、成る／成らない／必ず成る局面のルールを正しく扱えるか確認する。</x:v>
      </x:c>
      <x:c r="E18" s="90" t="str">
        <x:v>任意成りと強制成りを発生させられる局面を用意する。</x:v>
      </x:c>
      <x:c r="F18" s="90" t="str">
        <x:v>1. 任意成りが発生する局面で着手する
2. 成る／成らないをそれぞれ選ぶ
3. 歩・香・桂の強制成り局面で着手する</x:v>
      </x:c>
      <x:c r="G18" s="90" t="str">
        <x:v>任意成りの選択結果が盤面と棋譜へ反映される。強制成りでは非合法な不成を選べない。</x:v>
      </x:c>
      <x:c r="H18" s="90" t="str">
        <x:v>選択対象の駒が明確か、キーボードと狭い画面でも安全に選べるかを観察する。</x:v>
      </x:c>
      <x:c r="I18" s="98" t="str">
        <x:v>P0</x:v>
      </x:c>
      <x:c r="J18" s="101" t="str">
        <x:v>Yes</x:v>
      </x:c>
      <x:c r="K18" s="104" t="str">
        <x:v>Candidate</x:v>
      </x:c>
    </x:row>
    <x:row r="19" ht="88" customHeight="1">
      <x:c r="A19" s="94" t="str">
        <x:v>CU-15</x:v>
      </x:c>
      <x:c r="B19" s="95" t="str">
        <x:v>対局ルール</x:v>
      </x:c>
      <x:c r="C19" s="95" t="str">
        <x:v>駒取り・持ち駒・駒打ち・二歩</x:v>
      </x:c>
      <x:c r="D19" s="90" t="str">
        <x:v>取った駒の所有と、持ち駒を使う操作・反則防止を確認する。</x:v>
      </x:c>
      <x:c r="E19" s="90" t="str">
        <x:v>駒取りと駒打ちを短手数で作れる局面を用意する。</x:v>
      </x:c>
      <x:c r="F19" s="90" t="str">
        <x:v>1. 駒を取って持ち駒表示を確認する
2. 持ち駒を合法なマスへ打つ
3. 二歩と行き所のない駒打ちを試す
4. 盤反転後も確認する</x:v>
      </x:c>
      <x:c r="G19" s="90" t="str">
        <x:v>取った駒が正しい側の持ち駒になり、合法な駒打ちだけ成立する。二歩などは局面不変で拒否される。</x:v>
      </x:c>
      <x:c r="H19" s="90" t="str">
        <x:v>持ち駒が操作可能だと分かるか、同種複数枚の枚数を誤認しないかを観察する。</x:v>
      </x:c>
      <x:c r="I19" s="98" t="str">
        <x:v>P0</x:v>
      </x:c>
      <x:c r="J19" s="101" t="str">
        <x:v>Yes</x:v>
      </x:c>
      <x:c r="K19" s="104" t="str">
        <x:v>Candidate</x:v>
      </x:c>
    </x:row>
    <x:row r="20" ht="88" customHeight="1">
      <x:c r="A20" s="94" t="str">
        <x:v>CU-16</x:v>
      </x:c>
      <x:c r="B20" s="95" t="str">
        <x:v>棋譜編集</x:v>
      </x:c>
      <x:c r="C20" s="95" t="str">
        <x:v>過去局面からの分岐</x:v>
      </x:c>
      <x:c r="D20" s="90" t="str">
        <x:v>途中局面から別の手を指す際の破棄確認と状態整合性を確認する。</x:v>
      </x:c>
      <x:c r="E20" s="90" t="str">
        <x:v>5手以上の棋譜を用意する。</x:v>
      </x:c>
      <x:c r="F20" s="90" t="str">
        <x:v>1. 途中局面へ戻る
2. 元棋譜と異なる合法手を指す
3. 分岐後の棋譜・解析・共有URLを確認する</x:v>
      </x:c>
      <x:c r="G20" s="90" t="str">
        <x:v>以降の手を破棄する影響が事前に伝わる。キャンセルは元棋譜を維持し、続行時は盤面・手数・解析が同期する。</x:v>
      </x:c>
      <x:c r="H20" s="90" t="str">
        <x:v>検討中と実戦棋譜の違い、元棋譜を保存する必要性を理解できるかを観察する。</x:v>
      </x:c>
      <x:c r="I20" s="98" t="str">
        <x:v>P1</x:v>
      </x:c>
      <x:c r="J20" s="101" t="str">
        <x:v>Yes</x:v>
      </x:c>
      <x:c r="K20" s="104" t="str">
        <x:v>Candidate</x:v>
      </x:c>
    </x:row>
    <x:row r="21" ht="88" customHeight="1">
      <x:c r="A21" s="94" t="str">
        <x:v>CU-17</x:v>
      </x:c>
      <x:c r="B21" s="95" t="str">
        <x:v>共有・復帰</x:v>
      </x:c>
      <x:c r="C21" s="95" t="str">
        <x:v>壊れた共有URLとブラウザ復帰</x:v>
      </x:c>
      <x:c r="D21" s="90" t="str">
        <x:v>不正な共有データとブラウザ操作から安全に復帰できるか確認する。</x:v>
      </x:c>
      <x:c r="E21" s="90" t="str">
        <x:v>正常な共有URLと不正なmovesデータを用意する。</x:v>
      </x:c>
      <x:c r="F21" s="90" t="str">
        <x:v>1. 空・欠損・不正なmoves URLを開く
2. 正常URLを再読み込みする
3. ブラウザの戻る／進むを使う</x:v>
      </x:c>
      <x:c r="G21" s="90" t="str">
        <x:v>不正データでも停止せずエラーと復帰手段を示す。正常データとブラウザ履歴では棋譜・局面・URLが同期する。</x:v>
      </x:c>
      <x:c r="H21" s="90" t="str">
        <x:v>エラー後の新規対局への戻り方と、URL編集で失う内容が分かるかを観察する。</x:v>
      </x:c>
      <x:c r="I21" s="98" t="str">
        <x:v>P1</x:v>
      </x:c>
      <x:c r="J21" s="101" t="str">
        <x:v>Yes</x:v>
      </x:c>
      <x:c r="K21" s="104" t="str">
        <x:v>Candidate</x:v>
      </x:c>
    </x:row>
    <x:row r="22" ht="88" customHeight="1">
      <x:c r="A22" s="96" t="str">
        <x:v>CU-18</x:v>
      </x:c>
      <x:c r="B22" s="97" t="str">
        <x:v>堅牢性・性能</x:v>
      </x:c>
      <x:c r="C22" s="97" t="str">
        <x:v>解析中止・連打・長棋譜</x:v>
      </x:c>
      <x:c r="D22" s="74" t="str">
        <x:v>重い処理や連続操作でも多重実行や状態破損がないか確認する。</x:v>
      </x:c>
      <x:c r="E22" s="74" t="str">
        <x:v>長い棋譜を用意する。</x:v>
      </x:c>
      <x:c r="F22" s="74" t="str">
        <x:v>1. 長棋譜の解析を開始する
2. 中止して直後に再開する
3. 解析・共有・局面移動を短時間に繰り返す
4. 最終状態を確認する</x:v>
      </x:c>
      <x:c r="G22" s="74" t="str">
        <x:v>中止と再開が重複せず、連打で多重ダウンロード・複数通知・状態破損が起きない。長棋譜でも操作を継続できる。</x:v>
      </x:c>
      <x:c r="H22" s="74" t="str">
        <x:v>解析中・中止済み・完了の差と、待機時間や残り量を理解できるかを観察する。</x:v>
      </x:c>
      <x:c r="I22" s="78" t="str">
        <x:v>P1</x:v>
      </x:c>
      <x:c r="J22" s="102" t="str">
        <x:v>Yes</x:v>
      </x:c>
      <x:c r="K22" s="105" t="str">
        <x:v>Candidate</x:v>
      </x:c>
    </x:row>
  </x:sheetData>
  <x:mergeCells>
    <x:mergeCell ref="A1:K1"/>
    <x:mergeCell ref="A2:K2"/>
  </x:mergeCells>
  <x:conditionalFormatting sqref="I5:I22">
    <x:cfRule type="containsText" dxfId="0" priority="1" operator="containsText" text="P0"/>
    <x:cfRule type="containsText" dxfId="1" priority="2" operator="containsText" text="P1"/>
    <x:cfRule type="containsText" dxfId="2" priority="3" operator="containsText" text="P2"/>
    <x:cfRule type="containsText" dxfId="3" priority="4" operator="containsText" text="P3"/>
  </x:conditionalFormatting>
  <x:dataValidations count="2">
    <x:dataValidation type="list" sqref="J5:J22">
      <x:formula1>"Yes,No"</x:formula1>
    </x:dataValidation>
    <x:dataValidation type="list" sqref="K5:K22">
      <x:formula1>"Manual Only,Candidate,Automated"</x:formula1>
    </x:dataValidation>
  </x:dataValidations>
  <x:pageMargins left="0.7" right="0.7" top="0.75" bottom="0.75" header="0.3" footer="0.3"/>
  <x:tableParts count="1">
    <x:tablePart xmlns:r="http://schemas.openxmlformats.org/officeDocument/2006/relationships" r:id="Rd123702872394280"/>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2" hidden="0" customWidth="1"/>
    <x:col min="2" max="2" width="19" hidden="0" customWidth="1"/>
    <x:col min="3" max="3" width="14" hidden="0" customWidth="1"/>
    <x:col min="4" max="4" width="17" hidden="0" customWidth="1"/>
    <x:col min="5" max="5" width="11" hidden="0" customWidth="1"/>
    <x:col min="6" max="6" width="28" hidden="0" customWidth="1"/>
    <x:col min="7" max="7" width="13" hidden="0" customWidth="1"/>
    <x:col min="8" max="8" width="9" hidden="0" customWidth="1"/>
    <x:col min="9" max="9" width="15" hidden="0" customWidth="1"/>
    <x:col min="10" max="10" width="30" hidden="0" customWidth="1"/>
    <x:col min="11" max="11" width="42" hidden="0" customWidth="1"/>
    <x:col min="12" max="12" width="14" hidden="0" customWidth="1"/>
    <x:col min="13" max="13" width="38" hidden="0" customWidth="1"/>
    <x:col min="14" max="14" width="11" hidden="0" customWidth="1"/>
    <x:col min="15" max="15" width="34" hidden="0" customWidth="1"/>
  </x:cols>
  <x:sheetData>
    <x:row r="1" ht="30" customHeight="1">
      <x:c r="A1" s="7" t="str">
        <x:v>テスト実施記録</x:v>
      </x:c>
      <x:c r="B1" s="8"/>
      <x:c r="C1" s="8"/>
      <x:c r="D1" s="8"/>
      <x:c r="E1" s="8"/>
      <x:c r="F1" s="8"/>
      <x:c r="G1" s="8"/>
      <x:c r="H1" s="8"/>
      <x:c r="I1" s="8"/>
      <x:c r="J1" s="8"/>
      <x:c r="K1" s="8"/>
      <x:c r="L1" s="8"/>
      <x:c r="M1" s="8"/>
      <x:c r="N1" s="8"/>
      <x:c r="O1" s="8"/>
    </x:row>
    <x:row r="2" ht="22" customHeight="1">
      <x:c r="A2" s="9" t="str">
        <x:v>RUN-001の実操作結果と、Desktop/Narrowの2環境×18ケースを記録しています。</x:v>
      </x:c>
      <x:c r="B2" s="8"/>
      <x:c r="C2" s="8"/>
      <x:c r="D2" s="8"/>
      <x:c r="E2" s="8"/>
      <x:c r="F2" s="8"/>
      <x:c r="G2" s="8"/>
      <x:c r="H2" s="8"/>
      <x:c r="I2" s="8"/>
      <x:c r="J2" s="8"/>
      <x:c r="K2" s="8"/>
      <x:c r="L2" s="8"/>
      <x:c r="M2" s="8"/>
      <x:c r="N2" s="8"/>
      <x:c r="O2" s="8"/>
    </x:row>
    <x:row r="4">
      <x:c r="A4" s="39" t="str">
        <x:v>Run ID</x:v>
      </x:c>
      <x:c r="B4" s="40" t="str">
        <x:v>Environment</x:v>
      </x:c>
      <x:c r="C4" s="40" t="str">
        <x:v>Test Date</x:v>
      </x:c>
      <x:c r="D4" s="40" t="str">
        <x:v>Tester</x:v>
      </x:c>
      <x:c r="E4" s="40" t="str">
        <x:v>Test ID</x:v>
      </x:c>
      <x:c r="F4" s="40" t="str">
        <x:v>Title</x:v>
      </x:c>
      <x:c r="G4" s="40" t="str">
        <x:v>Status</x:v>
      </x:c>
      <x:c r="H4" s="40" t="str">
        <x:v>Check</x:v>
      </x:c>
      <x:c r="I4" s="40" t="str">
        <x:v>Duration (min)</x:v>
      </x:c>
      <x:c r="J4" s="40" t="str">
        <x:v>Evidence</x:v>
      </x:c>
      <x:c r="K4" s="40" t="str">
        <x:v>Observation</x:v>
      </x:c>
      <x:c r="L4" s="40" t="str">
        <x:v>Issue ID</x:v>
      </x:c>
      <x:c r="M4" s="40" t="str">
        <x:v>Blocker / Fail reason</x:v>
      </x:c>
      <x:c r="N4" s="40" t="str">
        <x:v>Retest</x:v>
      </x:c>
      <x:c r="O4" s="41" t="str">
        <x:v>Notes</x:v>
      </x:c>
    </x:row>
    <x:row r="5" ht="44" customHeight="1">
      <x:c r="A5" s="106" t="str">
        <x:v>RUN-001</x:v>
      </x:c>
      <x:c r="B5" s="107" t="str">
        <x:v>ENV-01 Desktop</x:v>
      </x:c>
      <x:c r="C5" s="133" t="n">
        <x:v>46223</x:v>
      </x:c>
      <x:c r="D5" s="100" t="str">
        <x:v>Codex Computer Use</x:v>
      </x:c>
      <x:c r="E5" s="134" t="str">
        <x:v>CU-01</x:v>
      </x:c>
      <x:c r="F5" s="134" t="str">
        <x:f>IFERROR(VLOOKUP(E5,'Test Cases'!$A$5:$C$22,3,FALSE),"")</x:f>
        <x:v>初回表示と第一印象</x:v>
      </x:c>
      <x:c r="G5" s="100" t="str">
        <x:v>Pass</x:v>
      </x:c>
      <x:c r="H5" s="118" t="str">
        <x:f>IF(OR(G5="",G5="Not Run"),"☐","☑")</x:f>
        <x:v>☑</x:v>
      </x:c>
      <x:c r="I5" s="135" t="str"/>
      <x:c r="J5" s="121" t="str">
        <x:v>docs/qa/evidence/RUN-001/CU-01-initial-desktop.png</x:v>
      </x:c>
      <x:c r="K5" s="121" t="str">
        <x:v>9×9盤と全駒および主要操作を確認。欠損画像や重なりなし。</x:v>
      </x:c>
      <x:c r="L5" s="121" t="str"/>
      <x:c r="M5" s="121" t="str"/>
      <x:c r="N5" s="121" t="str">
        <x:v>No</x:v>
      </x:c>
      <x:c r="O5" s="124" t="str"/>
    </x:row>
    <x:row r="6" ht="44" customHeight="1">
      <x:c r="A6" s="108" t="str">
        <x:v>RUN-001</x:v>
      </x:c>
      <x:c r="B6" s="109" t="str">
        <x:v>ENV-01 Desktop</x:v>
      </x:c>
      <x:c r="C6" s="136" t="n">
        <x:v>46223</x:v>
      </x:c>
      <x:c r="D6" s="101" t="str">
        <x:v>Codex Computer Use</x:v>
      </x:c>
      <x:c r="E6" s="137" t="str">
        <x:v>CU-02</x:v>
      </x:c>
      <x:c r="F6" s="137" t="str">
        <x:f>IFERROR(VLOOKUP(E6,'Test Cases'!$A$5:$C$22,3,FALSE),"")</x:f>
        <x:v>対局開始とプレイヤー設定</x:v>
      </x:c>
      <x:c r="G6" s="101" t="str">
        <x:v>Pass</x:v>
      </x:c>
      <x:c r="H6" s="119" t="str">
        <x:f>IF(OR(G6="",G6="Not Run"),"☐","☑")</x:f>
        <x:v>☑</x:v>
      </x:c>
      <x:c r="I6" s="138" t="str"/>
      <x:c r="J6" s="122" t="str"/>
      <x:c r="K6" s="122" t="str">
        <x:v>人間先手とAI先手の両設定で開始。AI先手は自動で初手を着手。</x:v>
      </x:c>
      <x:c r="L6" s="122" t="str"/>
      <x:c r="M6" s="122" t="str"/>
      <x:c r="N6" s="122" t="str">
        <x:v>No</x:v>
      </x:c>
      <x:c r="O6" s="125" t="str"/>
    </x:row>
    <x:row r="7" ht="44" customHeight="1">
      <x:c r="A7" s="108" t="str">
        <x:v>RUN-001</x:v>
      </x:c>
      <x:c r="B7" s="109" t="str">
        <x:v>ENV-01 Desktop</x:v>
      </x:c>
      <x:c r="C7" s="136" t="n">
        <x:v>46223</x:v>
      </x:c>
      <x:c r="D7" s="101" t="str">
        <x:v>Codex Computer Use</x:v>
      </x:c>
      <x:c r="E7" s="137" t="str">
        <x:v>CU-03</x:v>
      </x:c>
      <x:c r="F7" s="137" t="str">
        <x:f>IFERROR(VLOOKUP(E7,'Test Cases'!$A$5:$C$22,3,FALSE),"")</x:f>
        <x:v>駒選択・合法手・着手</x:v>
      </x:c>
      <x:c r="G7" s="101" t="str">
        <x:v>Pass</x:v>
      </x:c>
      <x:c r="H7" s="119" t="str">
        <x:f>IF(OR(G7="",G7="Not Run"),"☐","☑")</x:f>
        <x:v>☑</x:v>
      </x:c>
      <x:c r="I7" s="138" t="str"/>
      <x:c r="J7" s="122" t="str">
        <x:v>docs/qa/evidence/RUN-001/CU-03-legal-move-marker.png;docs/qa/evidence/RUN-001/CU-03-after-first-move.png</x:v>
      </x:c>
      <x:c r="K7" s="122" t="str">
        <x:v>合法手マーカーと選択状態が明瞭。非合法マスでは局面不変。着手後にAI応手と棋譜を更新。</x:v>
      </x:c>
      <x:c r="L7" s="122" t="str"/>
      <x:c r="M7" s="122" t="str"/>
      <x:c r="N7" s="122" t="str">
        <x:v>No</x:v>
      </x:c>
      <x:c r="O7" s="125" t="str"/>
    </x:row>
    <x:row r="8" ht="44" customHeight="1">
      <x:c r="A8" s="108" t="str">
        <x:v>RUN-001</x:v>
      </x:c>
      <x:c r="B8" s="109" t="str">
        <x:v>ENV-01 Desktop</x:v>
      </x:c>
      <x:c r="C8" s="136" t="n">
        <x:v>46223</x:v>
      </x:c>
      <x:c r="D8" s="101" t="str">
        <x:v>Codex Computer Use</x:v>
      </x:c>
      <x:c r="E8" s="137" t="str">
        <x:v>CU-04</x:v>
      </x:c>
      <x:c r="F8" s="137" t="str">
        <x:f>IFERROR(VLOOKUP(E8,'Test Cases'!$A$5:$C$22,3,FALSE),"")</x:f>
        <x:v>投了と新規対局</x:v>
      </x:c>
      <x:c r="G8" s="101" t="str">
        <x:v>Pass</x:v>
      </x:c>
      <x:c r="H8" s="119" t="str">
        <x:f>IF(OR(G8="",G8="Not Run"),"☐","☑")</x:f>
        <x:v>☑</x:v>
      </x:c>
      <x:c r="I8" s="138" t="str"/>
      <x:c r="J8" s="122" t="str">
        <x:v>docs/qa/evidence/RUN-001/CU-04-resign.png</x:v>
      </x:c>
      <x:c r="K8" s="122" t="str">
        <x:v>投了結果と新規対局の初期化は正しいが両操作とも確認なしで即時実行。</x:v>
      </x:c>
      <x:c r="L8" s="122" t="str">
        <x:v>#7</x:v>
      </x:c>
      <x:c r="M8" s="122" t="str"/>
      <x:c r="N8" s="122" t="str">
        <x:v>No</x:v>
      </x:c>
      <x:c r="O8" s="125" t="str"/>
    </x:row>
    <x:row r="9" ht="44" customHeight="1">
      <x:c r="A9" s="108" t="str">
        <x:v>RUN-001</x:v>
      </x:c>
      <x:c r="B9" s="109" t="str">
        <x:v>ENV-01 Desktop</x:v>
      </x:c>
      <x:c r="C9" s="136" t="n">
        <x:v>46223</x:v>
      </x:c>
      <x:c r="D9" s="101" t="str">
        <x:v>Codex Computer Use</x:v>
      </x:c>
      <x:c r="E9" s="137" t="str">
        <x:v>CU-05</x:v>
      </x:c>
      <x:c r="F9" s="137" t="str">
        <x:f>IFERROR(VLOOKUP(E9,'Test Cases'!$A$5:$C$22,3,FALSE),"")</x:f>
        <x:v>盤反転</x:v>
      </x:c>
      <x:c r="G9" s="101" t="str">
        <x:v>Pass</x:v>
      </x:c>
      <x:c r="H9" s="119" t="str">
        <x:f>IF(OR(G9="",G9="Not Run"),"☐","☑")</x:f>
        <x:v>☑</x:v>
      </x:c>
      <x:c r="I9" s="138" t="str"/>
      <x:c r="J9" s="122" t="str">
        <x:v>docs/qa/evidence/RUN-001/CU-05-board-flipped.png</x:v>
      </x:c>
      <x:c r="K9" s="122" t="str">
        <x:v>座標と駒向きが一貫して反転し反転後も着手可能。</x:v>
      </x:c>
      <x:c r="L9" s="122" t="str"/>
      <x:c r="M9" s="122" t="str"/>
      <x:c r="N9" s="122" t="str">
        <x:v>No</x:v>
      </x:c>
      <x:c r="O9" s="125" t="str"/>
    </x:row>
    <x:row r="10" ht="44" customHeight="1">
      <x:c r="A10" s="108" t="str">
        <x:v>RUN-001</x:v>
      </x:c>
      <x:c r="B10" s="109" t="str">
        <x:v>ENV-01 Desktop</x:v>
      </x:c>
      <x:c r="C10" s="136" t="n">
        <x:v>46223</x:v>
      </x:c>
      <x:c r="D10" s="101" t="str">
        <x:v>Codex Computer Use</x:v>
      </x:c>
      <x:c r="E10" s="137" t="str">
        <x:v>CU-06</x:v>
      </x:c>
      <x:c r="F10" s="137" t="str">
        <x:f>IFERROR(VLOOKUP(E10,'Test Cases'!$A$5:$C$22,3,FALSE),"")</x:f>
        <x:v>KIF読込（正常系）</x:v>
      </x:c>
      <x:c r="G10" s="101" t="str">
        <x:v>Fail</x:v>
      </x:c>
      <x:c r="H10" s="119" t="str">
        <x:f>IF(OR(G10="",G10="Not Run"),"☐","☑")</x:f>
        <x:v>☑</x:v>
      </x:c>
      <x:c r="I10" s="138" t="str"/>
      <x:c r="J10" s="122" t="str">
        <x:v>docs/qa/evidence/RUN-001/CU-06-valid-kif-loaded.png</x:v>
      </x:c>
      <x:c r="K10" s="122" t="str">
        <x:v>5手と終局情報は読み込むが表示位置が0/5で初期局面。</x:v>
      </x:c>
      <x:c r="L10" s="122" t="str">
        <x:v>#6</x:v>
      </x:c>
      <x:c r="M10" s="122" t="str">
        <x:v>読込直後に期待する最終局面5/5を表示しない</x:v>
      </x:c>
      <x:c r="N10" s="122" t="str">
        <x:v>No</x:v>
      </x:c>
      <x:c r="O10" s="125" t="str"/>
    </x:row>
    <x:row r="11" ht="44" customHeight="1">
      <x:c r="A11" s="108" t="str">
        <x:v>RUN-001</x:v>
      </x:c>
      <x:c r="B11" s="109" t="str">
        <x:v>ENV-01 Desktop</x:v>
      </x:c>
      <x:c r="C11" s="136" t="n">
        <x:v>46223</x:v>
      </x:c>
      <x:c r="D11" s="101" t="str">
        <x:v>Codex Computer Use</x:v>
      </x:c>
      <x:c r="E11" s="137" t="str">
        <x:v>CU-07</x:v>
      </x:c>
      <x:c r="F11" s="137" t="str">
        <x:f>IFERROR(VLOOKUP(E11,'Test Cases'!$A$5:$C$22,3,FALSE),"")</x:f>
        <x:v>KIF読込（異常系）</x:v>
      </x:c>
      <x:c r="G11" s="101" t="str">
        <x:v>Pass</x:v>
      </x:c>
      <x:c r="H11" s="119" t="str">
        <x:f>IF(OR(G11="",G11="Not Run"),"☐","☑")</x:f>
        <x:v>☑</x:v>
      </x:c>
      <x:c r="I11" s="138" t="str"/>
      <x:c r="J11" s="122" t="str">
        <x:v>docs/qa/evidence/RUN-001/CU-07-invalid-kif-error.png</x:v>
      </x:c>
      <x:c r="K11" s="122" t="str">
        <x:v>非合法手の位置と理由を表示し元の5/5局面を保持。</x:v>
      </x:c>
      <x:c r="L11" s="122" t="str"/>
      <x:c r="M11" s="122" t="str"/>
      <x:c r="N11" s="122" t="str">
        <x:v>No</x:v>
      </x:c>
      <x:c r="O11" s="125" t="str"/>
    </x:row>
    <x:row r="12" ht="44" customHeight="1">
      <x:c r="A12" s="108" t="str">
        <x:v>RUN-001</x:v>
      </x:c>
      <x:c r="B12" s="109" t="str">
        <x:v>ENV-01 Desktop</x:v>
      </x:c>
      <x:c r="C12" s="136" t="n">
        <x:v>46223</x:v>
      </x:c>
      <x:c r="D12" s="101" t="str">
        <x:v>Codex Computer Use</x:v>
      </x:c>
      <x:c r="E12" s="137" t="str">
        <x:v>CU-08</x:v>
      </x:c>
      <x:c r="F12" s="137" t="str">
        <x:f>IFERROR(VLOOKUP(E12,'Test Cases'!$A$5:$C$22,3,FALSE),"")</x:f>
        <x:v>棋譜移動とキーボード操作</x:v>
      </x:c>
      <x:c r="G12" s="101" t="str">
        <x:v>Pass</x:v>
      </x:c>
      <x:c r="H12" s="119" t="str">
        <x:f>IF(OR(G12="",G12="Not Run"),"☐","☑")</x:f>
        <x:v>☑</x:v>
      </x:c>
      <x:c r="I12" s="138" t="str"/>
      <x:c r="J12" s="122" t="str">
        <x:v>docs/qa/evidence/RUN-001/CU-08-final-position.png</x:v>
      </x:c>
      <x:c r="K12" s="122" t="str">
        <x:v>先頭末尾と前後移動および左右矢印で盤面・手数・棋譜一覧が同期。</x:v>
      </x:c>
      <x:c r="L12" s="122" t="str"/>
      <x:c r="M12" s="122" t="str"/>
      <x:c r="N12" s="122" t="str">
        <x:v>No</x:v>
      </x:c>
      <x:c r="O12" s="125" t="str"/>
    </x:row>
    <x:row r="13" ht="44" customHeight="1">
      <x:c r="A13" s="108" t="str">
        <x:v>RUN-001</x:v>
      </x:c>
      <x:c r="B13" s="109" t="str">
        <x:v>ENV-01 Desktop</x:v>
      </x:c>
      <x:c r="C13" s="136" t="n">
        <x:v>46223</x:v>
      </x:c>
      <x:c r="D13" s="101" t="str">
        <x:v>Codex Computer Use</x:v>
      </x:c>
      <x:c r="E13" s="137" t="str">
        <x:v>CU-09</x:v>
      </x:c>
      <x:c r="F13" s="137" t="str">
        <x:f>IFERROR(VLOOKUP(E13,'Test Cases'!$A$5:$C$22,3,FALSE),"")</x:f>
        <x:v>棋譜解析と最善手</x:v>
      </x:c>
      <x:c r="G13" s="101" t="str">
        <x:v>Pass</x:v>
      </x:c>
      <x:c r="H13" s="119" t="str">
        <x:f>IF(OR(G13="",G13="Not Run"),"☐","☑")</x:f>
        <x:v>☑</x:v>
      </x:c>
      <x:c r="I13" s="138" t="str"/>
      <x:c r="J13" s="122" t="str">
        <x:v>docs/qa/evidence/RUN-001/CU-09-analysis-started.png;docs/qa/evidence/RUN-001/CU-09-analysis-complete.png</x:v>
      </x:c>
      <x:c r="K13" s="122" t="str">
        <x:v>進捗3/6から6/6へ完了。最善手・青矢印・評価グラフが局面移動に追従。</x:v>
      </x:c>
      <x:c r="L13" s="122" t="str"/>
      <x:c r="M13" s="122" t="str"/>
      <x:c r="N13" s="122" t="str">
        <x:v>No</x:v>
      </x:c>
      <x:c r="O13" s="125" t="str"/>
    </x:row>
    <x:row r="14" ht="44" customHeight="1">
      <x:c r="A14" s="108" t="str">
        <x:v>RUN-001</x:v>
      </x:c>
      <x:c r="B14" s="109" t="str">
        <x:v>ENV-01 Desktop</x:v>
      </x:c>
      <x:c r="C14" s="136" t="n">
        <x:v>46223</x:v>
      </x:c>
      <x:c r="D14" s="101" t="str">
        <x:v>Codex Computer Use</x:v>
      </x:c>
      <x:c r="E14" s="137" t="str">
        <x:v>CU-10</x:v>
      </x:c>
      <x:c r="F14" s="137" t="str">
        <x:f>IFERROR(VLOOKUP(E14,'Test Cases'!$A$5:$C$22,3,FALSE),"")</x:f>
        <x:v>URL共有</x:v>
      </x:c>
      <x:c r="G14" s="101" t="str">
        <x:v>Fail</x:v>
      </x:c>
      <x:c r="H14" s="119" t="str">
        <x:f>IF(OR(G14="",G14="Not Run"),"☐","☑")</x:f>
        <x:v>☑</x:v>
      </x:c>
      <x:c r="I14" s="138" t="str"/>
      <x:c r="J14" s="122" t="str">
        <x:v>docs/qa/evidence/RUN-001/CU-10-shared-url-restored.png</x:v>
      </x:c>
      <x:c r="K14" s="122" t="str">
        <x:v>コピーURLで5手は復元するが新規タブは0/5の初期局面を表示。</x:v>
      </x:c>
      <x:c r="L14" s="122" t="str">
        <x:v>#6</x:v>
      </x:c>
      <x:c r="M14" s="122" t="str">
        <x:v>共有URLを開いた直後に期待する最終局面5/5を表示しない</x:v>
      </x:c>
      <x:c r="N14" s="122" t="str">
        <x:v>No</x:v>
      </x:c>
      <x:c r="O14" s="125" t="str"/>
    </x:row>
    <x:row r="15" ht="44" customHeight="1">
      <x:c r="A15" s="108" t="str">
        <x:v>RUN-001</x:v>
      </x:c>
      <x:c r="B15" s="109" t="str">
        <x:v>ENV-01 Desktop</x:v>
      </x:c>
      <x:c r="C15" s="136" t="n">
        <x:v>46223</x:v>
      </x:c>
      <x:c r="D15" s="101" t="str">
        <x:v>Codex Computer Use</x:v>
      </x:c>
      <x:c r="E15" s="137" t="str">
        <x:v>CU-11</x:v>
      </x:c>
      <x:c r="F15" s="137" t="str">
        <x:f>IFERROR(VLOOKUP(E15,'Test Cases'!$A$5:$C$22,3,FALSE),"")</x:f>
        <x:v>KIF保存</x:v>
      </x:c>
      <x:c r="G15" s="101" t="str">
        <x:v>Pass</x:v>
      </x:c>
      <x:c r="H15" s="119" t="str">
        <x:f>IF(OR(G15="",G15="Not Run"),"☐","☑")</x:f>
        <x:v>☑</x:v>
      </x:c>
      <x:c r="I15" s="138" t="str"/>
      <x:c r="J15" s="122" t="str"/>
      <x:c r="K15" s="122" t="str">
        <x:v>415BのKIFを1件保存しmacOSファイル選択から再読込して同じ5手を復元。</x:v>
      </x:c>
      <x:c r="L15" s="122" t="str"/>
      <x:c r="M15" s="122" t="str"/>
      <x:c r="N15" s="122" t="str">
        <x:v>No</x:v>
      </x:c>
      <x:c r="O15" s="125" t="str">
        <x:v>保存名はshogi_1784521965128.kif</x:v>
      </x:c>
    </x:row>
    <x:row r="16" ht="44" customHeight="1">
      <x:c r="A16" s="108" t="str">
        <x:v>RUN-001</x:v>
      </x:c>
      <x:c r="B16" s="109" t="str">
        <x:v>ENV-01 Desktop</x:v>
      </x:c>
      <x:c r="C16" s="136" t="n">
        <x:v>46223</x:v>
      </x:c>
      <x:c r="D16" s="101" t="str">
        <x:v>Codex Computer Use</x:v>
      </x:c>
      <x:c r="E16" s="137" t="str">
        <x:v>CU-12</x:v>
      </x:c>
      <x:c r="F16" s="137" t="str">
        <x:f>IFERROR(VLOOKUP(E16,'Test Cases'!$A$5:$C$22,3,FALSE),"")</x:f>
        <x:v>狭い画面での操作</x:v>
      </x:c>
      <x:c r="G16" s="101" t="str">
        <x:v>N/A</x:v>
      </x:c>
      <x:c r="H16" s="119" t="str">
        <x:f>IF(OR(G16="",G16="Not Run"),"☐","☑")</x:f>
        <x:v>☑</x:v>
      </x:c>
      <x:c r="I16" s="138" t="str"/>
      <x:c r="J16" s="122" t="str"/>
      <x:c r="K16" s="122" t="str">
        <x:v>狭い画面専用ケースのためDesktopでは対象外。</x:v>
      </x:c>
      <x:c r="L16" s="122" t="str"/>
      <x:c r="M16" s="122" t="str"/>
      <x:c r="N16" s="122" t="str">
        <x:v>No</x:v>
      </x:c>
      <x:c r="O16" s="125" t="str"/>
    </x:row>
    <x:row r="17" ht="44" customHeight="1">
      <x:c r="A17" s="108" t="str">
        <x:v>RUN-001</x:v>
      </x:c>
      <x:c r="B17" s="109" t="str">
        <x:v>ENV-01 Desktop</x:v>
      </x:c>
      <x:c r="C17" s="136" t="n">
        <x:v>46223</x:v>
      </x:c>
      <x:c r="D17" s="101" t="str">
        <x:v>Codex Computer Use</x:v>
      </x:c>
      <x:c r="E17" s="137" t="str">
        <x:v>CU-13</x:v>
      </x:c>
      <x:c r="F17" s="137" t="str">
        <x:f>IFERROR(VLOOKUP(E17,'Test Cases'!$A$5:$C$22,3,FALSE),"")</x:f>
        <x:v>キーボードフォーカスと読み上げ可能性</x:v>
      </x:c>
      <x:c r="G17" s="101" t="str">
        <x:v>Fail</x:v>
      </x:c>
      <x:c r="H17" s="119" t="str">
        <x:f>IF(OR(G17="",G17="Not Run"),"☐","☑")</x:f>
        <x:v>☑</x:v>
      </x:c>
      <x:c r="I17" s="138" t="str"/>
      <x:c r="J17" s="122" t="str">
        <x:v>docs/qa/evidence/RUN-001/CU-13-keyboard-focus-gap.png</x:v>
      </x:c>
      <x:c r="K17" s="122" t="str">
        <x:v>Tab移動は盤81マスをスキップ。駒画像とセルに座標・駒種の意味ある名前がない。</x:v>
      </x:c>
      <x:c r="L17" s="122" t="str">
        <x:v>#5</x:v>
      </x:c>
      <x:c r="M17" s="122" t="str">
        <x:v>キーボードだけで盤上操作を完了できない</x:v>
      </x:c>
      <x:c r="N17" s="122" t="str">
        <x:v>No</x:v>
      </x:c>
      <x:c r="O17" s="125" t="str"/>
    </x:row>
    <x:row r="18" ht="44" customHeight="1">
      <x:c r="A18" s="108" t="str">
        <x:v>RUN-001</x:v>
      </x:c>
      <x:c r="B18" s="109" t="str">
        <x:v>ENV-01 Desktop</x:v>
      </x:c>
      <x:c r="C18" s="136" t="str"/>
      <x:c r="D18" s="101" t="str"/>
      <x:c r="E18" s="137" t="str">
        <x:v>CU-14</x:v>
      </x:c>
      <x:c r="F18" s="137" t="str">
        <x:f>IFERROR(VLOOKUP(E18,'Test Cases'!$A$5:$C$22,3,FALSE),"")</x:f>
        <x:v>成り・不成・強制成り</x:v>
      </x:c>
      <x:c r="G18" s="101" t="str">
        <x:v>Not Run</x:v>
      </x:c>
      <x:c r="H18" s="119" t="str">
        <x:f>IF(OR(G18="",G18="Not Run"),"☐","☑")</x:f>
        <x:v>☐</x:v>
      </x:c>
      <x:c r="I18" s="138" t="str"/>
      <x:c r="J18" s="122" t="str"/>
      <x:c r="K18" s="122" t="str"/>
      <x:c r="L18" s="122" t="str"/>
      <x:c r="M18" s="122" t="str"/>
      <x:c r="N18" s="122" t="str">
        <x:v>No</x:v>
      </x:c>
      <x:c r="O18" s="125" t="str">
        <x:v>網羅不足としてRUN-001後に追加</x:v>
      </x:c>
    </x:row>
    <x:row r="19" ht="44" customHeight="1">
      <x:c r="A19" s="108" t="str">
        <x:v>RUN-001</x:v>
      </x:c>
      <x:c r="B19" s="109" t="str">
        <x:v>ENV-01 Desktop</x:v>
      </x:c>
      <x:c r="C19" s="136" t="str"/>
      <x:c r="D19" s="101" t="str"/>
      <x:c r="E19" s="137" t="str">
        <x:v>CU-15</x:v>
      </x:c>
      <x:c r="F19" s="137" t="str">
        <x:f>IFERROR(VLOOKUP(E19,'Test Cases'!$A$5:$C$22,3,FALSE),"")</x:f>
        <x:v>駒取り・持ち駒・駒打ち・二歩</x:v>
      </x:c>
      <x:c r="G19" s="101" t="str">
        <x:v>Not Run</x:v>
      </x:c>
      <x:c r="H19" s="119" t="str">
        <x:f>IF(OR(G19="",G19="Not Run"),"☐","☑")</x:f>
        <x:v>☐</x:v>
      </x:c>
      <x:c r="I19" s="138" t="str"/>
      <x:c r="J19" s="122" t="str"/>
      <x:c r="K19" s="122" t="str"/>
      <x:c r="L19" s="122" t="str"/>
      <x:c r="M19" s="122" t="str"/>
      <x:c r="N19" s="122" t="str">
        <x:v>No</x:v>
      </x:c>
      <x:c r="O19" s="125" t="str">
        <x:v>網羅不足としてRUN-001後に追加</x:v>
      </x:c>
    </x:row>
    <x:row r="20" ht="44" customHeight="1">
      <x:c r="A20" s="108" t="str">
        <x:v>RUN-001</x:v>
      </x:c>
      <x:c r="B20" s="109" t="str">
        <x:v>ENV-01 Desktop</x:v>
      </x:c>
      <x:c r="C20" s="136" t="str"/>
      <x:c r="D20" s="101" t="str"/>
      <x:c r="E20" s="137" t="str">
        <x:v>CU-16</x:v>
      </x:c>
      <x:c r="F20" s="137" t="str">
        <x:f>IFERROR(VLOOKUP(E20,'Test Cases'!$A$5:$C$22,3,FALSE),"")</x:f>
        <x:v>過去局面からの分岐</x:v>
      </x:c>
      <x:c r="G20" s="101" t="str">
        <x:v>Not Run</x:v>
      </x:c>
      <x:c r="H20" s="119" t="str">
        <x:f>IF(OR(G20="",G20="Not Run"),"☐","☑")</x:f>
        <x:v>☐</x:v>
      </x:c>
      <x:c r="I20" s="138" t="str"/>
      <x:c r="J20" s="122" t="str"/>
      <x:c r="K20" s="122" t="str"/>
      <x:c r="L20" s="122" t="str"/>
      <x:c r="M20" s="122" t="str"/>
      <x:c r="N20" s="122" t="str">
        <x:v>No</x:v>
      </x:c>
      <x:c r="O20" s="125" t="str">
        <x:v>網羅不足としてRUN-001後に追加</x:v>
      </x:c>
    </x:row>
    <x:row r="21" ht="44" customHeight="1">
      <x:c r="A21" s="108" t="str">
        <x:v>RUN-001</x:v>
      </x:c>
      <x:c r="B21" s="109" t="str">
        <x:v>ENV-01 Desktop</x:v>
      </x:c>
      <x:c r="C21" s="136" t="str"/>
      <x:c r="D21" s="101" t="str"/>
      <x:c r="E21" s="137" t="str">
        <x:v>CU-17</x:v>
      </x:c>
      <x:c r="F21" s="137" t="str">
        <x:f>IFERROR(VLOOKUP(E21,'Test Cases'!$A$5:$C$22,3,FALSE),"")</x:f>
        <x:v>壊れた共有URLとブラウザ復帰</x:v>
      </x:c>
      <x:c r="G21" s="101" t="str">
        <x:v>Not Run</x:v>
      </x:c>
      <x:c r="H21" s="119" t="str">
        <x:f>IF(OR(G21="",G21="Not Run"),"☐","☑")</x:f>
        <x:v>☐</x:v>
      </x:c>
      <x:c r="I21" s="138" t="str"/>
      <x:c r="J21" s="122" t="str"/>
      <x:c r="K21" s="122" t="str"/>
      <x:c r="L21" s="122" t="str"/>
      <x:c r="M21" s="122" t="str"/>
      <x:c r="N21" s="122" t="str">
        <x:v>No</x:v>
      </x:c>
      <x:c r="O21" s="125" t="str">
        <x:v>網羅不足としてRUN-001後に追加</x:v>
      </x:c>
    </x:row>
    <x:row r="22" ht="44" customHeight="1">
      <x:c r="A22" s="108" t="str">
        <x:v>RUN-001</x:v>
      </x:c>
      <x:c r="B22" s="109" t="str">
        <x:v>ENV-01 Desktop</x:v>
      </x:c>
      <x:c r="C22" s="136" t="str"/>
      <x:c r="D22" s="101" t="str"/>
      <x:c r="E22" s="137" t="str">
        <x:v>CU-18</x:v>
      </x:c>
      <x:c r="F22" s="137" t="str">
        <x:f>IFERROR(VLOOKUP(E22,'Test Cases'!$A$5:$C$22,3,FALSE),"")</x:f>
        <x:v>解析中止・連打・長棋譜</x:v>
      </x:c>
      <x:c r="G22" s="101" t="str">
        <x:v>Not Run</x:v>
      </x:c>
      <x:c r="H22" s="119" t="str">
        <x:f>IF(OR(G22="",G22="Not Run"),"☐","☑")</x:f>
        <x:v>☐</x:v>
      </x:c>
      <x:c r="I22" s="138" t="str"/>
      <x:c r="J22" s="122" t="str"/>
      <x:c r="K22" s="122" t="str"/>
      <x:c r="L22" s="122" t="str"/>
      <x:c r="M22" s="122" t="str"/>
      <x:c r="N22" s="122" t="str">
        <x:v>No</x:v>
      </x:c>
      <x:c r="O22" s="125" t="str">
        <x:v>網羅不足としてRUN-001後に追加</x:v>
      </x:c>
    </x:row>
    <x:row r="23" ht="44" customHeight="1">
      <x:c r="A23" s="108" t="str">
        <x:v>RUN-001</x:v>
      </x:c>
      <x:c r="B23" s="109" t="str">
        <x:v>ENV-02 Narrow</x:v>
      </x:c>
      <x:c r="C23" s="136" t="n">
        <x:v>46223</x:v>
      </x:c>
      <x:c r="D23" s="101" t="str">
        <x:v>Codex Computer Use</x:v>
      </x:c>
      <x:c r="E23" s="137" t="str">
        <x:v>CU-01</x:v>
      </x:c>
      <x:c r="F23" s="137" t="str">
        <x:f>IFERROR(VLOOKUP(E23,'Test Cases'!$A$5:$C$22,3,FALSE),"")</x:f>
        <x:v>初回表示と第一印象</x:v>
      </x:c>
      <x:c r="G23" s="101" t="str">
        <x:v>Pass</x:v>
      </x:c>
      <x:c r="H23" s="119" t="str">
        <x:f>IF(OR(G23="",G23="Not Run"),"☐","☑")</x:f>
        <x:v>☑</x:v>
      </x:c>
      <x:c r="I23" s="138" t="str"/>
      <x:c r="J23" s="122" t="str">
        <x:v>docs/qa/evidence/RUN-001/CU-12-mobile-initial.png</x:v>
      </x:c>
      <x:c r="K23" s="122" t="str">
        <x:v>400×625で盤全体と主要状態が横スクロールなしで表示。</x:v>
      </x:c>
      <x:c r="L23" s="122" t="str"/>
      <x:c r="M23" s="122" t="str"/>
      <x:c r="N23" s="122" t="str">
        <x:v>No</x:v>
      </x:c>
      <x:c r="O23" s="125" t="str"/>
    </x:row>
    <x:row r="24" ht="44" customHeight="1">
      <x:c r="A24" s="108" t="str">
        <x:v>RUN-001</x:v>
      </x:c>
      <x:c r="B24" s="109" t="str">
        <x:v>ENV-02 Narrow</x:v>
      </x:c>
      <x:c r="C24" s="136" t="n">
        <x:v>46223</x:v>
      </x:c>
      <x:c r="D24" s="101" t="str">
        <x:v>Codex Computer Use</x:v>
      </x:c>
      <x:c r="E24" s="137" t="str">
        <x:v>CU-02</x:v>
      </x:c>
      <x:c r="F24" s="137" t="str">
        <x:f>IFERROR(VLOOKUP(E24,'Test Cases'!$A$5:$C$22,3,FALSE),"")</x:f>
        <x:v>対局開始とプレイヤー設定</x:v>
      </x:c>
      <x:c r="G24" s="101" t="str">
        <x:v>Pass</x:v>
      </x:c>
      <x:c r="H24" s="119" t="str">
        <x:f>IF(OR(G24="",G24="Not Run"),"☐","☑")</x:f>
        <x:v>☑</x:v>
      </x:c>
      <x:c r="I24" s="138" t="str"/>
      <x:c r="J24" s="122" t="str">
        <x:v>docs/qa/evidence/RUN-001/CU-12-mobile-controls.png</x:v>
      </x:c>
      <x:c r="K24" s="122" t="str">
        <x:v>プレイヤー選択と主要ボタンが縦配置され重なりなく操作可能。</x:v>
      </x:c>
      <x:c r="L24" s="122" t="str"/>
      <x:c r="M24" s="122" t="str"/>
      <x:c r="N24" s="122" t="str">
        <x:v>No</x:v>
      </x:c>
      <x:c r="O24" s="125" t="str"/>
    </x:row>
    <x:row r="25" ht="44" customHeight="1">
      <x:c r="A25" s="108" t="str">
        <x:v>RUN-001</x:v>
      </x:c>
      <x:c r="B25" s="109" t="str">
        <x:v>ENV-02 Narrow</x:v>
      </x:c>
      <x:c r="C25" s="136" t="n">
        <x:v>46223</x:v>
      </x:c>
      <x:c r="D25" s="101" t="str">
        <x:v>Codex Computer Use</x:v>
      </x:c>
      <x:c r="E25" s="137" t="str">
        <x:v>CU-03</x:v>
      </x:c>
      <x:c r="F25" s="137" t="str">
        <x:f>IFERROR(VLOOKUP(E25,'Test Cases'!$A$5:$C$22,3,FALSE),"")</x:f>
        <x:v>駒選択・合法手・着手</x:v>
      </x:c>
      <x:c r="G25" s="101" t="str">
        <x:v>Pass</x:v>
      </x:c>
      <x:c r="H25" s="119" t="str">
        <x:f>IF(OR(G25="",G25="Not Run"),"☐","☑")</x:f>
        <x:v>☑</x:v>
      </x:c>
      <x:c r="I25" s="138" t="str"/>
      <x:c r="J25" s="122" t="str">
        <x:v>docs/qa/evidence/RUN-001/CU-03-mobile-move.png</x:v>
      </x:c>
      <x:c r="K25" s="122" t="str">
        <x:v>実タップで歩を選択し合法手マーカーを確認して7七から7六へ着手。</x:v>
      </x:c>
      <x:c r="L25" s="122" t="str"/>
      <x:c r="M25" s="122" t="str"/>
      <x:c r="N25" s="122" t="str">
        <x:v>No</x:v>
      </x:c>
      <x:c r="O25" s="125" t="str"/>
    </x:row>
    <x:row r="26" ht="44" customHeight="1">
      <x:c r="A26" s="108" t="str">
        <x:v>RUN-001</x:v>
      </x:c>
      <x:c r="B26" s="109" t="str">
        <x:v>ENV-02 Narrow</x:v>
      </x:c>
      <x:c r="C26" s="136" t="n">
        <x:v>46223</x:v>
      </x:c>
      <x:c r="D26" s="101" t="str">
        <x:v>Codex Computer Use</x:v>
      </x:c>
      <x:c r="E26" s="137" t="str">
        <x:v>CU-04</x:v>
      </x:c>
      <x:c r="F26" s="137" t="str">
        <x:f>IFERROR(VLOOKUP(E26,'Test Cases'!$A$5:$C$22,3,FALSE),"")</x:f>
        <x:v>投了と新規対局</x:v>
      </x:c>
      <x:c r="G26" s="101" t="str">
        <x:v>Pass</x:v>
      </x:c>
      <x:c r="H26" s="119" t="str">
        <x:f>IF(OR(G26="",G26="Not Run"),"☐","☑")</x:f>
        <x:v>☑</x:v>
      </x:c>
      <x:c r="I26" s="138" t="str"/>
      <x:c r="J26" s="122" t="str">
        <x:v>docs/qa/evidence/RUN-001/CU-03-mobile-move.png</x:v>
      </x:c>
      <x:c r="K26" s="122" t="str">
        <x:v>狭幅でも投了結果を表示。確認なし即時実行のUX課題はDesktopと同じ。</x:v>
      </x:c>
      <x:c r="L26" s="122" t="str">
        <x:v>#7</x:v>
      </x:c>
      <x:c r="M26" s="122" t="str"/>
      <x:c r="N26" s="122" t="str">
        <x:v>No</x:v>
      </x:c>
      <x:c r="O26" s="125" t="str"/>
    </x:row>
    <x:row r="27" ht="44" customHeight="1">
      <x:c r="A27" s="108" t="str">
        <x:v>RUN-001</x:v>
      </x:c>
      <x:c r="B27" s="109" t="str">
        <x:v>ENV-02 Narrow</x:v>
      </x:c>
      <x:c r="C27" s="136" t="n">
        <x:v>46223</x:v>
      </x:c>
      <x:c r="D27" s="101" t="str">
        <x:v>Codex Computer Use</x:v>
      </x:c>
      <x:c r="E27" s="137" t="str">
        <x:v>CU-05</x:v>
      </x:c>
      <x:c r="F27" s="137" t="str">
        <x:f>IFERROR(VLOOKUP(E27,'Test Cases'!$A$5:$C$22,3,FALSE),"")</x:f>
        <x:v>盤反転</x:v>
      </x:c>
      <x:c r="G27" s="101" t="str">
        <x:v>Pass</x:v>
      </x:c>
      <x:c r="H27" s="119" t="str">
        <x:f>IF(OR(G27="",G27="Not Run"),"☐","☑")</x:f>
        <x:v>☑</x:v>
      </x:c>
      <x:c r="I27" s="138" t="str"/>
      <x:c r="J27" s="122" t="str">
        <x:v>docs/qa/evidence/RUN-001/CU-12-mobile-flipped-board.png</x:v>
      </x:c>
      <x:c r="K27" s="122" t="str">
        <x:v>盤反転後も盤・座標・矢印が整列し着手可能。</x:v>
      </x:c>
      <x:c r="L27" s="122" t="str"/>
      <x:c r="M27" s="122" t="str"/>
      <x:c r="N27" s="122" t="str">
        <x:v>No</x:v>
      </x:c>
      <x:c r="O27" s="125" t="str"/>
    </x:row>
    <x:row r="28" ht="44" customHeight="1">
      <x:c r="A28" s="108" t="str">
        <x:v>RUN-001</x:v>
      </x:c>
      <x:c r="B28" s="109" t="str">
        <x:v>ENV-02 Narrow</x:v>
      </x:c>
      <x:c r="C28" s="136" t="n">
        <x:v>46223</x:v>
      </x:c>
      <x:c r="D28" s="101" t="str">
        <x:v>Codex Computer Use</x:v>
      </x:c>
      <x:c r="E28" s="137" t="str">
        <x:v>CU-06</x:v>
      </x:c>
      <x:c r="F28" s="137" t="str">
        <x:f>IFERROR(VLOOKUP(E28,'Test Cases'!$A$5:$C$22,3,FALSE),"")</x:f>
        <x:v>KIF読込（正常系）</x:v>
      </x:c>
      <x:c r="G28" s="101" t="str">
        <x:v>Fail</x:v>
      </x:c>
      <x:c r="H28" s="119" t="str">
        <x:f>IF(OR(G28="",G28="Not Run"),"☐","☑")</x:f>
        <x:v>☑</x:v>
      </x:c>
      <x:c r="I28" s="138" t="str"/>
      <x:c r="J28" s="122" t="str">
        <x:v>docs/qa/evidence/RUN-001/CU-12-mobile-kif-dialog.png</x:v>
      </x:c>
      <x:c r="K28" s="122" t="str">
        <x:v>モーダルは収まるが読込後はDesktop同様0/5を表示。</x:v>
      </x:c>
      <x:c r="L28" s="122" t="str">
        <x:v>#6</x:v>
      </x:c>
      <x:c r="M28" s="122" t="str">
        <x:v>読込直後に期待する最終局面5/5を表示しない</x:v>
      </x:c>
      <x:c r="N28" s="122" t="str">
        <x:v>No</x:v>
      </x:c>
      <x:c r="O28" s="125" t="str"/>
    </x:row>
    <x:row r="29" ht="44" customHeight="1">
      <x:c r="A29" s="108" t="str">
        <x:v>RUN-001</x:v>
      </x:c>
      <x:c r="B29" s="109" t="str">
        <x:v>ENV-02 Narrow</x:v>
      </x:c>
      <x:c r="C29" s="136" t="n">
        <x:v>46223</x:v>
      </x:c>
      <x:c r="D29" s="101" t="str">
        <x:v>Codex Computer Use</x:v>
      </x:c>
      <x:c r="E29" s="137" t="str">
        <x:v>CU-07</x:v>
      </x:c>
      <x:c r="F29" s="137" t="str">
        <x:f>IFERROR(VLOOKUP(E29,'Test Cases'!$A$5:$C$22,3,FALSE),"")</x:f>
        <x:v>KIF読込（異常系）</x:v>
      </x:c>
      <x:c r="G29" s="101" t="str">
        <x:v>Pass</x:v>
      </x:c>
      <x:c r="H29" s="119" t="str">
        <x:f>IF(OR(G29="",G29="Not Run"),"☐","☑")</x:f>
        <x:v>☑</x:v>
      </x:c>
      <x:c r="I29" s="138" t="str"/>
      <x:c r="J29" s="122" t="str">
        <x:v>docs/qa/evidence/RUN-001/CU-07-mobile-invalid-kif.png</x:v>
      </x:c>
      <x:c r="K29" s="122" t="str">
        <x:v>400px幅でも非合法手エラーを表示し元局面を保持。</x:v>
      </x:c>
      <x:c r="L29" s="122" t="str"/>
      <x:c r="M29" s="122" t="str"/>
      <x:c r="N29" s="122" t="str">
        <x:v>No</x:v>
      </x:c>
      <x:c r="O29" s="125" t="str"/>
    </x:row>
    <x:row r="30" ht="44" customHeight="1">
      <x:c r="A30" s="108" t="str">
        <x:v>RUN-001</x:v>
      </x:c>
      <x:c r="B30" s="109" t="str">
        <x:v>ENV-02 Narrow</x:v>
      </x:c>
      <x:c r="C30" s="136" t="n">
        <x:v>46223</x:v>
      </x:c>
      <x:c r="D30" s="101" t="str">
        <x:v>Codex Computer Use</x:v>
      </x:c>
      <x:c r="E30" s="137" t="str">
        <x:v>CU-08</x:v>
      </x:c>
      <x:c r="F30" s="137" t="str">
        <x:f>IFERROR(VLOOKUP(E30,'Test Cases'!$A$5:$C$22,3,FALSE),"")</x:f>
        <x:v>棋譜移動とキーボード操作</x:v>
      </x:c>
      <x:c r="G30" s="101" t="str">
        <x:v>Pass</x:v>
      </x:c>
      <x:c r="H30" s="119" t="str">
        <x:f>IF(OR(G30="",G30="Not Run"),"☐","☑")</x:f>
        <x:v>☑</x:v>
      </x:c>
      <x:c r="I30" s="138" t="str"/>
      <x:c r="J30" s="122" t="str">
        <x:v>docs/qa/evidence/RUN-001/CU-12-mobile-controls.png</x:v>
      </x:c>
      <x:c r="K30" s="122" t="str">
        <x:v>局面移動ボタンが重ならず盤面・手数・棋譜一覧が同期。</x:v>
      </x:c>
      <x:c r="L30" s="122" t="str"/>
      <x:c r="M30" s="122" t="str"/>
      <x:c r="N30" s="122" t="str">
        <x:v>No</x:v>
      </x:c>
      <x:c r="O30" s="125" t="str"/>
    </x:row>
    <x:row r="31" ht="44" customHeight="1">
      <x:c r="A31" s="108" t="str">
        <x:v>RUN-001</x:v>
      </x:c>
      <x:c r="B31" s="109" t="str">
        <x:v>ENV-02 Narrow</x:v>
      </x:c>
      <x:c r="C31" s="136" t="n">
        <x:v>46223</x:v>
      </x:c>
      <x:c r="D31" s="101" t="str">
        <x:v>Codex Computer Use</x:v>
      </x:c>
      <x:c r="E31" s="137" t="str">
        <x:v>CU-09</x:v>
      </x:c>
      <x:c r="F31" s="137" t="str">
        <x:f>IFERROR(VLOOKUP(E31,'Test Cases'!$A$5:$C$22,3,FALSE),"")</x:f>
        <x:v>棋譜解析と最善手</x:v>
      </x:c>
      <x:c r="G31" s="101" t="str">
        <x:v>Pass</x:v>
      </x:c>
      <x:c r="H31" s="119" t="str">
        <x:f>IF(OR(G31="",G31="Not Run"),"☐","☑")</x:f>
        <x:v>☑</x:v>
      </x:c>
      <x:c r="I31" s="138" t="str"/>
      <x:c r="J31" s="122" t="str">
        <x:v>docs/qa/evidence/RUN-001/CU-12-mobile-analysis.png</x:v>
      </x:c>
      <x:c r="K31" s="122" t="str">
        <x:v>解析済み2/2と最善手・評価グラフを狭幅内で確認。</x:v>
      </x:c>
      <x:c r="L31" s="122" t="str"/>
      <x:c r="M31" s="122" t="str"/>
      <x:c r="N31" s="122" t="str">
        <x:v>No</x:v>
      </x:c>
      <x:c r="O31" s="125" t="str"/>
    </x:row>
    <x:row r="32" ht="44" customHeight="1">
      <x:c r="A32" s="108" t="str">
        <x:v>RUN-001</x:v>
      </x:c>
      <x:c r="B32" s="109" t="str">
        <x:v>ENV-02 Narrow</x:v>
      </x:c>
      <x:c r="C32" s="136" t="n">
        <x:v>46223</x:v>
      </x:c>
      <x:c r="D32" s="101" t="str">
        <x:v>Codex Computer Use</x:v>
      </x:c>
      <x:c r="E32" s="137" t="str">
        <x:v>CU-10</x:v>
      </x:c>
      <x:c r="F32" s="137" t="str">
        <x:f>IFERROR(VLOOKUP(E32,'Test Cases'!$A$5:$C$22,3,FALSE),"")</x:f>
        <x:v>URL共有</x:v>
      </x:c>
      <x:c r="G32" s="101" t="str">
        <x:v>Fail</x:v>
      </x:c>
      <x:c r="H32" s="119" t="str">
        <x:f>IF(OR(G32="",G32="Not Run"),"☐","☑")</x:f>
        <x:v>☑</x:v>
      </x:c>
      <x:c r="I32" s="138" t="str"/>
      <x:c r="J32" s="122" t="str">
        <x:v>docs/qa/evidence/RUN-001/CU-10-shared-url-restored.png</x:v>
      </x:c>
      <x:c r="K32" s="122" t="str">
        <x:v>共有URLの棋譜は復元するが初期表示は0/5。</x:v>
      </x:c>
      <x:c r="L32" s="122" t="str">
        <x:v>#6</x:v>
      </x:c>
      <x:c r="M32" s="122" t="str">
        <x:v>共有URLを開いた直後に期待する最終局面5/5を表示しない</x:v>
      </x:c>
      <x:c r="N32" s="122" t="str">
        <x:v>No</x:v>
      </x:c>
      <x:c r="O32" s="125" t="str"/>
    </x:row>
    <x:row r="33" ht="44" customHeight="1">
      <x:c r="A33" s="108" t="str">
        <x:v>RUN-001</x:v>
      </x:c>
      <x:c r="B33" s="109" t="str">
        <x:v>ENV-02 Narrow</x:v>
      </x:c>
      <x:c r="C33" s="136" t="n">
        <x:v>46223</x:v>
      </x:c>
      <x:c r="D33" s="101" t="str">
        <x:v>Codex Computer Use</x:v>
      </x:c>
      <x:c r="E33" s="137" t="str">
        <x:v>CU-11</x:v>
      </x:c>
      <x:c r="F33" s="137" t="str">
        <x:f>IFERROR(VLOOKUP(E33,'Test Cases'!$A$5:$C$22,3,FALSE),"")</x:f>
        <x:v>KIF保存</x:v>
      </x:c>
      <x:c r="G33" s="101" t="str">
        <x:v>Pass</x:v>
      </x:c>
      <x:c r="H33" s="119" t="str">
        <x:f>IF(OR(G33="",G33="Not Run"),"☐","☑")</x:f>
        <x:v>☑</x:v>
      </x:c>
      <x:c r="I33" s="138" t="str"/>
      <x:c r="J33" s="122" t="str"/>
      <x:c r="K33" s="122" t="str">
        <x:v>狭幅でも保存操作と再読込フローを妨げる重なりなし。</x:v>
      </x:c>
      <x:c r="L33" s="122" t="str"/>
      <x:c r="M33" s="122" t="str"/>
      <x:c r="N33" s="122" t="str">
        <x:v>No</x:v>
      </x:c>
      <x:c r="O33" s="125" t="str"/>
    </x:row>
    <x:row r="34" ht="44" customHeight="1">
      <x:c r="A34" s="108" t="str">
        <x:v>RUN-001</x:v>
      </x:c>
      <x:c r="B34" s="109" t="str">
        <x:v>ENV-02 Narrow</x:v>
      </x:c>
      <x:c r="C34" s="136" t="n">
        <x:v>46223</x:v>
      </x:c>
      <x:c r="D34" s="101" t="str">
        <x:v>Codex Computer Use</x:v>
      </x:c>
      <x:c r="E34" s="137" t="str">
        <x:v>CU-12</x:v>
      </x:c>
      <x:c r="F34" s="137" t="str">
        <x:f>IFERROR(VLOOKUP(E34,'Test Cases'!$A$5:$C$22,3,FALSE),"")</x:f>
        <x:v>狭い画面での操作</x:v>
      </x:c>
      <x:c r="G34" s="101" t="str">
        <x:v>Pass</x:v>
      </x:c>
      <x:c r="H34" s="119" t="str">
        <x:f>IF(OR(G34="",G34="Not Run"),"☐","☑")</x:f>
        <x:v>☑</x:v>
      </x:c>
      <x:c r="I34" s="138" t="str"/>
      <x:c r="J34" s="122" t="str">
        <x:v>docs/qa/evidence/RUN-001/CU-12-mobile-initial.png;docs/qa/evidence/RUN-001/CU-12-mobile-controls.png;docs/qa/evidence/RUN-001/CU-12-mobile-analysis.png</x:v>
      </x:c>
      <x:c r="K34" s="122" t="str">
        <x:v>400×625で着手・KIF・解析・盤反転・投了を完了。横スクロールや重なりなし。</x:v>
      </x:c>
      <x:c r="L34" s="122" t="str"/>
      <x:c r="M34" s="122" t="str"/>
      <x:c r="N34" s="122" t="str">
        <x:v>No</x:v>
      </x:c>
      <x:c r="O34" s="125" t="str"/>
    </x:row>
    <x:row r="35" ht="44" customHeight="1">
      <x:c r="A35" s="108" t="str">
        <x:v>RUN-001</x:v>
      </x:c>
      <x:c r="B35" s="109" t="str">
        <x:v>ENV-02 Narrow</x:v>
      </x:c>
      <x:c r="C35" s="136" t="n">
        <x:v>46223</x:v>
      </x:c>
      <x:c r="D35" s="101" t="str">
        <x:v>Codex Computer Use</x:v>
      </x:c>
      <x:c r="E35" s="137" t="str">
        <x:v>CU-13</x:v>
      </x:c>
      <x:c r="F35" s="137" t="str">
        <x:f>IFERROR(VLOOKUP(E35,'Test Cases'!$A$5:$C$22,3,FALSE),"")</x:f>
        <x:v>キーボードフォーカスと読み上げ可能性</x:v>
      </x:c>
      <x:c r="G35" s="101" t="str">
        <x:v>Fail</x:v>
      </x:c>
      <x:c r="H35" s="119" t="str">
        <x:f>IF(OR(G35="",G35="Not Run"),"☐","☑")</x:f>
        <x:v>☑</x:v>
      </x:c>
      <x:c r="I35" s="138" t="str"/>
      <x:c r="J35" s="122" t="str">
        <x:v>docs/qa/evidence/RUN-001/CU-13-keyboard-focus-gap.png</x:v>
      </x:c>
      <x:c r="K35" s="122" t="str">
        <x:v>狭幅でも盤のDOMとアクセシビリティ上の制約は同じ。</x:v>
      </x:c>
      <x:c r="L35" s="122" t="str">
        <x:v>#5</x:v>
      </x:c>
      <x:c r="M35" s="122" t="str">
        <x:v>キーボードだけで盤上操作を完了できない</x:v>
      </x:c>
      <x:c r="N35" s="122" t="str">
        <x:v>No</x:v>
      </x:c>
      <x:c r="O35" s="125" t="str"/>
    </x:row>
    <x:row r="36" ht="44" customHeight="1">
      <x:c r="A36" s="108" t="str">
        <x:v>RUN-001</x:v>
      </x:c>
      <x:c r="B36" s="109" t="str">
        <x:v>ENV-02 Narrow</x:v>
      </x:c>
      <x:c r="C36" s="136" t="str"/>
      <x:c r="D36" s="101" t="str"/>
      <x:c r="E36" s="137" t="str">
        <x:v>CU-14</x:v>
      </x:c>
      <x:c r="F36" s="137" t="str">
        <x:f>IFERROR(VLOOKUP(E36,'Test Cases'!$A$5:$C$22,3,FALSE),"")</x:f>
        <x:v>成り・不成・強制成り</x:v>
      </x:c>
      <x:c r="G36" s="101" t="str">
        <x:v>Not Run</x:v>
      </x:c>
      <x:c r="H36" s="119" t="str">
        <x:f>IF(OR(G36="",G36="Not Run"),"☐","☑")</x:f>
        <x:v>☐</x:v>
      </x:c>
      <x:c r="I36" s="138" t="str"/>
      <x:c r="J36" s="122" t="str"/>
      <x:c r="K36" s="122" t="str"/>
      <x:c r="L36" s="122" t="str"/>
      <x:c r="M36" s="122" t="str"/>
      <x:c r="N36" s="122" t="str">
        <x:v>No</x:v>
      </x:c>
      <x:c r="O36" s="125" t="str">
        <x:v>網羅不足としてRUN-001後に追加</x:v>
      </x:c>
    </x:row>
    <x:row r="37" ht="44" customHeight="1">
      <x:c r="A37" s="108" t="str">
        <x:v>RUN-001</x:v>
      </x:c>
      <x:c r="B37" s="109" t="str">
        <x:v>ENV-02 Narrow</x:v>
      </x:c>
      <x:c r="C37" s="136" t="str"/>
      <x:c r="D37" s="101" t="str"/>
      <x:c r="E37" s="137" t="str">
        <x:v>CU-15</x:v>
      </x:c>
      <x:c r="F37" s="137" t="str">
        <x:f>IFERROR(VLOOKUP(E37,'Test Cases'!$A$5:$C$22,3,FALSE),"")</x:f>
        <x:v>駒取り・持ち駒・駒打ち・二歩</x:v>
      </x:c>
      <x:c r="G37" s="101" t="str">
        <x:v>Not Run</x:v>
      </x:c>
      <x:c r="H37" s="119" t="str">
        <x:f>IF(OR(G37="",G37="Not Run"),"☐","☑")</x:f>
        <x:v>☐</x:v>
      </x:c>
      <x:c r="I37" s="138" t="str"/>
      <x:c r="J37" s="122" t="str"/>
      <x:c r="K37" s="122" t="str"/>
      <x:c r="L37" s="122" t="str"/>
      <x:c r="M37" s="122" t="str"/>
      <x:c r="N37" s="122" t="str">
        <x:v>No</x:v>
      </x:c>
      <x:c r="O37" s="125" t="str">
        <x:v>網羅不足としてRUN-001後に追加</x:v>
      </x:c>
    </x:row>
    <x:row r="38" ht="44" customHeight="1">
      <x:c r="A38" s="108" t="str">
        <x:v>RUN-001</x:v>
      </x:c>
      <x:c r="B38" s="109" t="str">
        <x:v>ENV-02 Narrow</x:v>
      </x:c>
      <x:c r="C38" s="136" t="str"/>
      <x:c r="D38" s="101" t="str"/>
      <x:c r="E38" s="137" t="str">
        <x:v>CU-16</x:v>
      </x:c>
      <x:c r="F38" s="137" t="str">
        <x:f>IFERROR(VLOOKUP(E38,'Test Cases'!$A$5:$C$22,3,FALSE),"")</x:f>
        <x:v>過去局面からの分岐</x:v>
      </x:c>
      <x:c r="G38" s="101" t="str">
        <x:v>Not Run</x:v>
      </x:c>
      <x:c r="H38" s="119" t="str">
        <x:f>IF(OR(G38="",G38="Not Run"),"☐","☑")</x:f>
        <x:v>☐</x:v>
      </x:c>
      <x:c r="I38" s="138" t="str"/>
      <x:c r="J38" s="122" t="str"/>
      <x:c r="K38" s="122" t="str"/>
      <x:c r="L38" s="122" t="str"/>
      <x:c r="M38" s="122" t="str"/>
      <x:c r="N38" s="122" t="str">
        <x:v>No</x:v>
      </x:c>
      <x:c r="O38" s="125" t="str">
        <x:v>網羅不足としてRUN-001後に追加</x:v>
      </x:c>
    </x:row>
    <x:row r="39" ht="44" customHeight="1">
      <x:c r="A39" s="108" t="str">
        <x:v>RUN-001</x:v>
      </x:c>
      <x:c r="B39" s="109" t="str">
        <x:v>ENV-02 Narrow</x:v>
      </x:c>
      <x:c r="C39" s="136" t="str"/>
      <x:c r="D39" s="101" t="str"/>
      <x:c r="E39" s="137" t="str">
        <x:v>CU-17</x:v>
      </x:c>
      <x:c r="F39" s="137" t="str">
        <x:f>IFERROR(VLOOKUP(E39,'Test Cases'!$A$5:$C$22,3,FALSE),"")</x:f>
        <x:v>壊れた共有URLとブラウザ復帰</x:v>
      </x:c>
      <x:c r="G39" s="101" t="str">
        <x:v>Not Run</x:v>
      </x:c>
      <x:c r="H39" s="119" t="str">
        <x:f>IF(OR(G39="",G39="Not Run"),"☐","☑")</x:f>
        <x:v>☐</x:v>
      </x:c>
      <x:c r="I39" s="138" t="str"/>
      <x:c r="J39" s="122" t="str"/>
      <x:c r="K39" s="122" t="str"/>
      <x:c r="L39" s="122" t="str"/>
      <x:c r="M39" s="122" t="str"/>
      <x:c r="N39" s="122" t="str">
        <x:v>No</x:v>
      </x:c>
      <x:c r="O39" s="125" t="str">
        <x:v>網羅不足としてRUN-001後に追加</x:v>
      </x:c>
    </x:row>
    <x:row r="40" ht="44" customHeight="1">
      <x:c r="A40" s="110" t="str">
        <x:v>RUN-001</x:v>
      </x:c>
      <x:c r="B40" s="111" t="str">
        <x:v>ENV-02 Narrow</x:v>
      </x:c>
      <x:c r="C40" s="139" t="str"/>
      <x:c r="D40" s="102" t="str"/>
      <x:c r="E40" s="140" t="str">
        <x:v>CU-18</x:v>
      </x:c>
      <x:c r="F40" s="140" t="str">
        <x:f>IFERROR(VLOOKUP(E40,'Test Cases'!$A$5:$C$22,3,FALSE),"")</x:f>
        <x:v>解析中止・連打・長棋譜</x:v>
      </x:c>
      <x:c r="G40" s="102" t="str">
        <x:v>Not Run</x:v>
      </x:c>
      <x:c r="H40" s="120" t="str">
        <x:f>IF(OR(G40="",G40="Not Run"),"☐","☑")</x:f>
        <x:v>☐</x:v>
      </x:c>
      <x:c r="I40" s="141" t="str"/>
      <x:c r="J40" s="123" t="str"/>
      <x:c r="K40" s="123" t="str"/>
      <x:c r="L40" s="123" t="str"/>
      <x:c r="M40" s="123" t="str"/>
      <x:c r="N40" s="123" t="str">
        <x:v>No</x:v>
      </x:c>
      <x:c r="O40" s="126" t="str">
        <x:v>網羅不足としてRUN-001後に追加</x:v>
      </x:c>
    </x:row>
  </x:sheetData>
  <x:mergeCells>
    <x:mergeCell ref="A1:O1"/>
    <x:mergeCell ref="A2:O2"/>
  </x:mergeCells>
  <x:conditionalFormatting sqref="G5:G40">
    <x:cfRule type="containsText" dxfId="4" priority="1" operator="containsText" text="Not Run"/>
    <x:cfRule type="containsText" dxfId="5" priority="2" operator="containsText" text="Pass"/>
    <x:cfRule type="containsText" dxfId="6" priority="3" operator="containsText" text="Fail"/>
    <x:cfRule type="containsText" dxfId="7" priority="4" operator="containsText" text="Blocked"/>
    <x:cfRule type="containsText" dxfId="8" priority="5" operator="containsText" text="N/A"/>
  </x:conditionalFormatting>
  <x:dataValidations count="3">
    <x:dataValidation type="list" sqref="B5:B40">
      <x:formula1>"ENV-01 Desktop,ENV-02 Narrow"</x:formula1>
    </x:dataValidation>
    <x:dataValidation type="list" sqref="G5:G40">
      <x:formula1>"Not Run,Pass,Fail,Blocked,N/A"</x:formula1>
    </x:dataValidation>
    <x:dataValidation type="list" sqref="N5:N40">
      <x:formula1>"No,Yes"</x:formula1>
    </x:dataValidation>
  </x:dataValidations>
  <x:pageMargins left="0.7" right="0.7" top="0.75" bottom="0.75" header="0.3" footer="0.3"/>
  <x:tableParts count="1">
    <x:tablePart xmlns:r="http://schemas.openxmlformats.org/officeDocument/2006/relationships" r:id="Rb68bcfb1ce6e46a0"/>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3" hidden="0" customWidth="1"/>
    <x:col min="2" max="2" width="11" hidden="0" customWidth="1"/>
    <x:col min="3" max="3" width="28" hidden="0" customWidth="1"/>
    <x:col min="4" max="4" width="11" hidden="0" customWidth="1"/>
    <x:col min="5" max="5" width="18" hidden="0" customWidth="1"/>
    <x:col min="6" max="6" width="32" hidden="0" customWidth="1"/>
    <x:col min="7" max="7" width="46" hidden="0" customWidth="1"/>
    <x:col min="8" max="8" width="38" hidden="0" customWidth="1"/>
    <x:col min="9" max="9" width="42" hidden="0" customWidth="1"/>
    <x:col min="10" max="10" width="30" hidden="0" customWidth="1"/>
    <x:col min="11" max="11" width="38" hidden="0" customWidth="1"/>
    <x:col min="12" max="12" width="16" hidden="0" customWidth="1"/>
    <x:col min="13" max="13" width="18" hidden="0" customWidth="1"/>
    <x:col min="14" max="14" width="15" hidden="0" customWidth="1"/>
    <x:col min="15" max="15" width="15" hidden="0" customWidth="1"/>
    <x:col min="16" max="16" width="14" hidden="0" customWidth="1"/>
  </x:cols>
  <x:sheetData>
    <x:row r="1" ht="30" customHeight="1">
      <x:c r="A1" s="7" t="str">
        <x:v>不具合・UX改善候補</x:v>
      </x:c>
      <x:c r="B1" s="8"/>
      <x:c r="C1" s="8"/>
      <x:c r="D1" s="8"/>
      <x:c r="E1" s="8"/>
      <x:c r="F1" s="8"/>
      <x:c r="G1" s="8"/>
      <x:c r="H1" s="8"/>
      <x:c r="I1" s="8"/>
      <x:c r="J1" s="8"/>
      <x:c r="K1" s="8"/>
      <x:c r="L1" s="8"/>
      <x:c r="M1" s="8"/>
      <x:c r="N1" s="8"/>
      <x:c r="O1" s="8"/>
      <x:c r="P1" s="8"/>
    </x:row>
    <x:row r="2" ht="22" customHeight="1">
      <x:c r="A2" s="9" t="str">
        <x:v>観察事実と期待を分けて記録します。提案は観察後に記入し、Fail／BlockedはExecutionのIssue IDと紐付けます。</x:v>
      </x:c>
      <x:c r="B2" s="8"/>
      <x:c r="C2" s="8"/>
      <x:c r="D2" s="8"/>
      <x:c r="E2" s="8"/>
      <x:c r="F2" s="8"/>
      <x:c r="G2" s="8"/>
      <x:c r="H2" s="8"/>
      <x:c r="I2" s="8"/>
      <x:c r="J2" s="8"/>
      <x:c r="K2" s="8"/>
      <x:c r="L2" s="8"/>
      <x:c r="M2" s="8"/>
      <x:c r="N2" s="8"/>
      <x:c r="O2" s="8"/>
      <x:c r="P2" s="8"/>
    </x:row>
    <x:row r="4">
      <x:c r="A4" s="39" t="str">
        <x:v>Issue ID</x:v>
      </x:c>
      <x:c r="B4" s="40" t="str">
        <x:v>Test ID</x:v>
      </x:c>
      <x:c r="C4" s="40" t="str">
        <x:v>Test Title</x:v>
      </x:c>
      <x:c r="D4" s="40" t="str">
        <x:v>Priority</x:v>
      </x:c>
      <x:c r="E4" s="40" t="str">
        <x:v>Type</x:v>
      </x:c>
      <x:c r="F4" s="40" t="str">
        <x:v>Title</x:v>
      </x:c>
      <x:c r="G4" s="40" t="str">
        <x:v>Observation (fact)</x:v>
      </x:c>
      <x:c r="H4" s="40" t="str">
        <x:v>Expected</x:v>
      </x:c>
      <x:c r="I4" s="40" t="str">
        <x:v>Repro Steps</x:v>
      </x:c>
      <x:c r="J4" s="40" t="str">
        <x:v>Evidence</x:v>
      </x:c>
      <x:c r="K4" s="40" t="str">
        <x:v>Recommendation</x:v>
      </x:c>
      <x:c r="L4" s="40" t="str">
        <x:v>Status</x:v>
      </x:c>
      <x:c r="M4" s="40" t="str">
        <x:v>Owner</x:v>
      </x:c>
      <x:c r="N4" s="40" t="str">
        <x:v>Created Date</x:v>
      </x:c>
      <x:c r="O4" s="40" t="str">
        <x:v>Resolved Date</x:v>
      </x:c>
      <x:c r="P4" s="41" t="str">
        <x:v>Disposition</x:v>
      </x:c>
    </x:row>
    <x:row r="5" ht="58" customHeight="1">
      <x:c r="A5" s="145" t="str">
        <x:v>#5</x:v>
      </x:c>
      <x:c r="B5" s="146" t="str">
        <x:v>CU-13</x:v>
      </x:c>
      <x:c r="C5" s="147" t="str">
        <x:f>IFERROR(VLOOKUP(B5,'Test Cases'!$A$5:$C$22,3,FALSE),"")</x:f>
        <x:v>キーボードフォーカスと読み上げ可能性</x:v>
      </x:c>
      <x:c r="D5" s="153" t="str">
        <x:v>P1</x:v>
      </x:c>
      <x:c r="E5" s="153" t="str">
        <x:v>Accessibility</x:v>
      </x:c>
      <x:c r="F5" s="146" t="str">
        <x:v>将棋盤をキーボードとスクリーンリーダーで操作できるようにする</x:v>
      </x:c>
      <x:c r="G5" s="121" t="str">
        <x:v>Tab移動が盤81マスをスキップし駒画像とセルに座標・所有者・駒種の意味ある名前がない</x:v>
      </x:c>
      <x:c r="H5" s="121" t="str">
        <x:v>キーボードで盤上操作を完了できVoiceOver等で局面と選択状態を識別できる</x:v>
      </x:c>
      <x:c r="I5" s="121" t="str">
        <x:v>ページ先頭からTab移動し盤上マスへの到達とアクセシビリティツリーを確認</x:v>
      </x:c>
      <x:c r="J5" s="121" t="str">
        <x:v>docs/qa/evidence/RUN-001/CU-13-keyboard-focus-gap.png</x:v>
      </x:c>
      <x:c r="K5" s="121" t="str">
        <x:v>各マスへ座標・駒情報を含む名称とキーボード操作および可視フォーカスを追加</x:v>
      </x:c>
      <x:c r="L5" s="100" t="str">
        <x:v>Open</x:v>
      </x:c>
      <x:c r="M5" s="100" t="str"/>
      <x:c r="N5" s="133" t="n">
        <x:v>46223</x:v>
      </x:c>
      <x:c r="O5" s="133" t="str"/>
      <x:c r="P5" s="103" t="str">
        <x:v>Now</x:v>
      </x:c>
    </x:row>
    <x:row r="6" ht="58" customHeight="1">
      <x:c r="A6" s="148" t="str">
        <x:v>#6</x:v>
      </x:c>
      <x:c r="B6" s="15" t="str">
        <x:v>CU-06</x:v>
      </x:c>
      <x:c r="C6" s="149" t="str">
        <x:f>IFERROR(VLOOKUP(B6,'Test Cases'!$A$5:$C$22,3,FALSE),"")</x:f>
        <x:v>KIF読込（正常系）</x:v>
      </x:c>
      <x:c r="D6" s="154" t="str">
        <x:v>P2</x:v>
      </x:c>
      <x:c r="E6" s="154" t="str">
        <x:v>UX</x:v>
      </x:c>
      <x:c r="F6" s="15" t="str">
        <x:v>KIF読込・共有URLの復元時に最終局面を表示する</x:v>
      </x:c>
      <x:c r="G6" s="122" t="str">
        <x:v>5手の棋譜は復元されるが読込直後と共有URL初回表示が0/5の初期局面</x:v>
      </x:c>
      <x:c r="H6" s="122" t="str">
        <x:v>復元直後に最終局面5/5と終局情報を表示する</x:v>
      </x:c>
      <x:c r="I6" s="122" t="str">
        <x:v>5手KIFを読み込む。またはURL共有して新しいタブで開く</x:v>
      </x:c>
      <x:c r="J6" s="122" t="str">
        <x:v>docs/qa/evidence/RUN-001/CU-06-valid-kif-loaded.png;docs/qa/evidence/RUN-001/CU-10-shared-url-restored.png</x:v>
      </x:c>
      <x:c r="K6" s="122" t="str">
        <x:v>KIF読込とURL復元の完了時に表示位置を最終手へ同期</x:v>
      </x:c>
      <x:c r="L6" s="101" t="str">
        <x:v>Open</x:v>
      </x:c>
      <x:c r="M6" s="101" t="str"/>
      <x:c r="N6" s="136" t="n">
        <x:v>46223</x:v>
      </x:c>
      <x:c r="O6" s="136" t="str"/>
      <x:c r="P6" s="104" t="str">
        <x:v>Next</x:v>
      </x:c>
    </x:row>
    <x:row r="7" ht="58" customHeight="1">
      <x:c r="A7" s="148" t="str">
        <x:v>#7</x:v>
      </x:c>
      <x:c r="B7" s="15" t="str">
        <x:v>CU-04</x:v>
      </x:c>
      <x:c r="C7" s="149" t="str">
        <x:f>IFERROR(VLOOKUP(B7,'Test Cases'!$A$5:$C$22,3,FALSE),"")</x:f>
        <x:v>投了と新規対局</x:v>
      </x:c>
      <x:c r="D7" s="154" t="str">
        <x:v>P2</x:v>
      </x:c>
      <x:c r="E7" s="154" t="str">
        <x:v>UX</x:v>
      </x:c>
      <x:c r="F7" s="15" t="str">
        <x:v>投了・新規対局の破壊的操作に確認を追加する</x:v>
      </x:c>
      <x:c r="G7" s="122" t="str">
        <x:v>1手以上の棋譜があっても投了と新規対局が確認なしで即時実行され取り消せない</x:v>
      </x:c>
      <x:c r="H7" s="122" t="str">
        <x:v>失う棋譜がある場合は影響を説明して実行またはキャンセルを選べる</x:v>
      </x:c>
      <x:c r="I7" s="122" t="str">
        <x:v>1手以上指して投了を押す。再度棋譜を用意して新規対局を押す</x:v>
      </x:c>
      <x:c r="J7" s="122" t="str">
        <x:v>docs/qa/evidence/RUN-001/CU-04-resign.png</x:v>
      </x:c>
      <x:c r="K7" s="122" t="str">
        <x:v>未保存棋譜または進行中対局がある場合に安全側へ初期フォーカスした確認を表示</x:v>
      </x:c>
      <x:c r="L7" s="101" t="str">
        <x:v>Open</x:v>
      </x:c>
      <x:c r="M7" s="101" t="str"/>
      <x:c r="N7" s="136" t="n">
        <x:v>46223</x:v>
      </x:c>
      <x:c r="O7" s="136" t="str"/>
      <x:c r="P7" s="104" t="str">
        <x:v>Next</x:v>
      </x:c>
    </x:row>
    <x:row r="8" ht="58" customHeight="1">
      <x:c r="A8" s="148" t="str"/>
      <x:c r="B8" s="15" t="str"/>
      <x:c r="C8" s="149" t="str">
        <x:f>IFERROR(VLOOKUP(B8,'Test Cases'!$A$5:$C$22,3,FALSE),"")</x:f>
      </x:c>
      <x:c r="D8" s="154" t="str"/>
      <x:c r="E8" s="154" t="str"/>
      <x:c r="F8" s="15" t="str"/>
      <x:c r="G8" s="122" t="str"/>
      <x:c r="H8" s="122" t="str"/>
      <x:c r="I8" s="122" t="str"/>
      <x:c r="J8" s="122" t="str"/>
      <x:c r="K8" s="122" t="str"/>
      <x:c r="L8" s="101" t="str"/>
      <x:c r="M8" s="101" t="str"/>
      <x:c r="N8" s="136" t="str"/>
      <x:c r="O8" s="136" t="str"/>
      <x:c r="P8" s="104" t="str"/>
    </x:row>
    <x:row r="9" ht="58" customHeight="1">
      <x:c r="A9" s="148" t="str"/>
      <x:c r="B9" s="15" t="str"/>
      <x:c r="C9" s="149" t="str">
        <x:f>IFERROR(VLOOKUP(B9,'Test Cases'!$A$5:$C$22,3,FALSE),"")</x:f>
      </x:c>
      <x:c r="D9" s="154" t="str"/>
      <x:c r="E9" s="154" t="str"/>
      <x:c r="F9" s="15" t="str"/>
      <x:c r="G9" s="122" t="str"/>
      <x:c r="H9" s="122" t="str"/>
      <x:c r="I9" s="122" t="str"/>
      <x:c r="J9" s="122" t="str"/>
      <x:c r="K9" s="122" t="str"/>
      <x:c r="L9" s="101" t="str"/>
      <x:c r="M9" s="101" t="str"/>
      <x:c r="N9" s="136" t="str"/>
      <x:c r="O9" s="136" t="str"/>
      <x:c r="P9" s="104" t="str"/>
    </x:row>
    <x:row r="10" ht="58" customHeight="1">
      <x:c r="A10" s="148" t="str"/>
      <x:c r="B10" s="15" t="str"/>
      <x:c r="C10" s="149" t="str">
        <x:f>IFERROR(VLOOKUP(B10,'Test Cases'!$A$5:$C$22,3,FALSE),"")</x:f>
      </x:c>
      <x:c r="D10" s="154" t="str"/>
      <x:c r="E10" s="154" t="str"/>
      <x:c r="F10" s="15" t="str"/>
      <x:c r="G10" s="122" t="str"/>
      <x:c r="H10" s="122" t="str"/>
      <x:c r="I10" s="122" t="str"/>
      <x:c r="J10" s="122" t="str"/>
      <x:c r="K10" s="122" t="str"/>
      <x:c r="L10" s="101" t="str"/>
      <x:c r="M10" s="101" t="str"/>
      <x:c r="N10" s="136" t="str"/>
      <x:c r="O10" s="136" t="str"/>
      <x:c r="P10" s="104" t="str"/>
    </x:row>
    <x:row r="11" ht="58" customHeight="1">
      <x:c r="A11" s="148" t="str"/>
      <x:c r="B11" s="15" t="str"/>
      <x:c r="C11" s="149" t="str">
        <x:f>IFERROR(VLOOKUP(B11,'Test Cases'!$A$5:$C$22,3,FALSE),"")</x:f>
      </x:c>
      <x:c r="D11" s="154" t="str"/>
      <x:c r="E11" s="154" t="str"/>
      <x:c r="F11" s="15" t="str"/>
      <x:c r="G11" s="122" t="str"/>
      <x:c r="H11" s="122" t="str"/>
      <x:c r="I11" s="122" t="str"/>
      <x:c r="J11" s="122" t="str"/>
      <x:c r="K11" s="122" t="str"/>
      <x:c r="L11" s="101" t="str"/>
      <x:c r="M11" s="101" t="str"/>
      <x:c r="N11" s="136" t="str"/>
      <x:c r="O11" s="136" t="str"/>
      <x:c r="P11" s="104" t="str"/>
    </x:row>
    <x:row r="12" ht="58" customHeight="1">
      <x:c r="A12" s="148" t="str"/>
      <x:c r="B12" s="15" t="str"/>
      <x:c r="C12" s="149" t="str">
        <x:f>IFERROR(VLOOKUP(B12,'Test Cases'!$A$5:$C$22,3,FALSE),"")</x:f>
      </x:c>
      <x:c r="D12" s="154" t="str"/>
      <x:c r="E12" s="154" t="str"/>
      <x:c r="F12" s="15" t="str"/>
      <x:c r="G12" s="122" t="str"/>
      <x:c r="H12" s="122" t="str"/>
      <x:c r="I12" s="122" t="str"/>
      <x:c r="J12" s="122" t="str"/>
      <x:c r="K12" s="122" t="str"/>
      <x:c r="L12" s="101" t="str"/>
      <x:c r="M12" s="101" t="str"/>
      <x:c r="N12" s="136" t="str"/>
      <x:c r="O12" s="136" t="str"/>
      <x:c r="P12" s="104" t="str"/>
    </x:row>
    <x:row r="13" ht="58" customHeight="1">
      <x:c r="A13" s="148" t="str"/>
      <x:c r="B13" s="15" t="str"/>
      <x:c r="C13" s="149" t="str">
        <x:f>IFERROR(VLOOKUP(B13,'Test Cases'!$A$5:$C$22,3,FALSE),"")</x:f>
      </x:c>
      <x:c r="D13" s="154" t="str"/>
      <x:c r="E13" s="154" t="str"/>
      <x:c r="F13" s="15" t="str"/>
      <x:c r="G13" s="122" t="str"/>
      <x:c r="H13" s="122" t="str"/>
      <x:c r="I13" s="122" t="str"/>
      <x:c r="J13" s="122" t="str"/>
      <x:c r="K13" s="122" t="str"/>
      <x:c r="L13" s="101" t="str"/>
      <x:c r="M13" s="101" t="str"/>
      <x:c r="N13" s="136" t="str"/>
      <x:c r="O13" s="136" t="str"/>
      <x:c r="P13" s="104" t="str"/>
    </x:row>
    <x:row r="14" ht="58" customHeight="1">
      <x:c r="A14" s="148" t="str"/>
      <x:c r="B14" s="15" t="str"/>
      <x:c r="C14" s="149" t="str">
        <x:f>IFERROR(VLOOKUP(B14,'Test Cases'!$A$5:$C$22,3,FALSE),"")</x:f>
      </x:c>
      <x:c r="D14" s="154" t="str"/>
      <x:c r="E14" s="154" t="str"/>
      <x:c r="F14" s="15" t="str"/>
      <x:c r="G14" s="122" t="str"/>
      <x:c r="H14" s="122" t="str"/>
      <x:c r="I14" s="122" t="str"/>
      <x:c r="J14" s="122" t="str"/>
      <x:c r="K14" s="122" t="str"/>
      <x:c r="L14" s="101" t="str"/>
      <x:c r="M14" s="101" t="str"/>
      <x:c r="N14" s="136" t="str"/>
      <x:c r="O14" s="136" t="str"/>
      <x:c r="P14" s="104" t="str"/>
    </x:row>
    <x:row r="15" ht="58" customHeight="1">
      <x:c r="A15" s="148" t="str"/>
      <x:c r="B15" s="15" t="str"/>
      <x:c r="C15" s="149" t="str">
        <x:f>IFERROR(VLOOKUP(B15,'Test Cases'!$A$5:$C$22,3,FALSE),"")</x:f>
      </x:c>
      <x:c r="D15" s="154" t="str"/>
      <x:c r="E15" s="154" t="str"/>
      <x:c r="F15" s="15" t="str"/>
      <x:c r="G15" s="122" t="str"/>
      <x:c r="H15" s="122" t="str"/>
      <x:c r="I15" s="122" t="str"/>
      <x:c r="J15" s="122" t="str"/>
      <x:c r="K15" s="122" t="str"/>
      <x:c r="L15" s="101" t="str"/>
      <x:c r="M15" s="101" t="str"/>
      <x:c r="N15" s="136" t="str"/>
      <x:c r="O15" s="136" t="str"/>
      <x:c r="P15" s="104" t="str"/>
    </x:row>
    <x:row r="16" ht="58" customHeight="1">
      <x:c r="A16" s="148" t="str"/>
      <x:c r="B16" s="15" t="str"/>
      <x:c r="C16" s="149" t="str">
        <x:f>IFERROR(VLOOKUP(B16,'Test Cases'!$A$5:$C$22,3,FALSE),"")</x:f>
      </x:c>
      <x:c r="D16" s="154" t="str"/>
      <x:c r="E16" s="154" t="str"/>
      <x:c r="F16" s="15" t="str"/>
      <x:c r="G16" s="122" t="str"/>
      <x:c r="H16" s="122" t="str"/>
      <x:c r="I16" s="122" t="str"/>
      <x:c r="J16" s="122" t="str"/>
      <x:c r="K16" s="122" t="str"/>
      <x:c r="L16" s="101" t="str"/>
      <x:c r="M16" s="101" t="str"/>
      <x:c r="N16" s="136" t="str"/>
      <x:c r="O16" s="136" t="str"/>
      <x:c r="P16" s="104" t="str"/>
    </x:row>
    <x:row r="17" ht="58" customHeight="1">
      <x:c r="A17" s="148" t="str"/>
      <x:c r="B17" s="15" t="str"/>
      <x:c r="C17" s="149" t="str">
        <x:f>IFERROR(VLOOKUP(B17,'Test Cases'!$A$5:$C$22,3,FALSE),"")</x:f>
      </x:c>
      <x:c r="D17" s="154" t="str"/>
      <x:c r="E17" s="154" t="str"/>
      <x:c r="F17" s="15" t="str"/>
      <x:c r="G17" s="122" t="str"/>
      <x:c r="H17" s="122" t="str"/>
      <x:c r="I17" s="122" t="str"/>
      <x:c r="J17" s="122" t="str"/>
      <x:c r="K17" s="122" t="str"/>
      <x:c r="L17" s="101" t="str"/>
      <x:c r="M17" s="101" t="str"/>
      <x:c r="N17" s="136" t="str"/>
      <x:c r="O17" s="136" t="str"/>
      <x:c r="P17" s="104" t="str"/>
    </x:row>
    <x:row r="18" ht="58" customHeight="1">
      <x:c r="A18" s="148" t="str"/>
      <x:c r="B18" s="15" t="str"/>
      <x:c r="C18" s="149" t="str">
        <x:f>IFERROR(VLOOKUP(B18,'Test Cases'!$A$5:$C$22,3,FALSE),"")</x:f>
      </x:c>
      <x:c r="D18" s="154" t="str"/>
      <x:c r="E18" s="154" t="str"/>
      <x:c r="F18" s="15" t="str"/>
      <x:c r="G18" s="122" t="str"/>
      <x:c r="H18" s="122" t="str"/>
      <x:c r="I18" s="122" t="str"/>
      <x:c r="J18" s="122" t="str"/>
      <x:c r="K18" s="122" t="str"/>
      <x:c r="L18" s="101" t="str"/>
      <x:c r="M18" s="101" t="str"/>
      <x:c r="N18" s="136" t="str"/>
      <x:c r="O18" s="136" t="str"/>
      <x:c r="P18" s="104" t="str"/>
    </x:row>
    <x:row r="19" ht="58" customHeight="1">
      <x:c r="A19" s="148" t="str"/>
      <x:c r="B19" s="15" t="str"/>
      <x:c r="C19" s="149" t="str">
        <x:f>IFERROR(VLOOKUP(B19,'Test Cases'!$A$5:$C$22,3,FALSE),"")</x:f>
      </x:c>
      <x:c r="D19" s="154" t="str"/>
      <x:c r="E19" s="154" t="str"/>
      <x:c r="F19" s="15" t="str"/>
      <x:c r="G19" s="122" t="str"/>
      <x:c r="H19" s="122" t="str"/>
      <x:c r="I19" s="122" t="str"/>
      <x:c r="J19" s="122" t="str"/>
      <x:c r="K19" s="122" t="str"/>
      <x:c r="L19" s="101" t="str"/>
      <x:c r="M19" s="101" t="str"/>
      <x:c r="N19" s="136" t="str"/>
      <x:c r="O19" s="136" t="str"/>
      <x:c r="P19" s="104" t="str"/>
    </x:row>
    <x:row r="20" ht="58" customHeight="1">
      <x:c r="A20" s="148" t="str"/>
      <x:c r="B20" s="15" t="str"/>
      <x:c r="C20" s="149" t="str">
        <x:f>IFERROR(VLOOKUP(B20,'Test Cases'!$A$5:$C$22,3,FALSE),"")</x:f>
      </x:c>
      <x:c r="D20" s="154" t="str"/>
      <x:c r="E20" s="154" t="str"/>
      <x:c r="F20" s="15" t="str"/>
      <x:c r="G20" s="122" t="str"/>
      <x:c r="H20" s="122" t="str"/>
      <x:c r="I20" s="122" t="str"/>
      <x:c r="J20" s="122" t="str"/>
      <x:c r="K20" s="122" t="str"/>
      <x:c r="L20" s="101" t="str"/>
      <x:c r="M20" s="101" t="str"/>
      <x:c r="N20" s="136" t="str"/>
      <x:c r="O20" s="136" t="str"/>
      <x:c r="P20" s="104" t="str"/>
    </x:row>
    <x:row r="21" ht="58" customHeight="1">
      <x:c r="A21" s="148" t="str"/>
      <x:c r="B21" s="15" t="str"/>
      <x:c r="C21" s="149" t="str">
        <x:f>IFERROR(VLOOKUP(B21,'Test Cases'!$A$5:$C$22,3,FALSE),"")</x:f>
      </x:c>
      <x:c r="D21" s="154" t="str"/>
      <x:c r="E21" s="154" t="str"/>
      <x:c r="F21" s="15" t="str"/>
      <x:c r="G21" s="122" t="str"/>
      <x:c r="H21" s="122" t="str"/>
      <x:c r="I21" s="122" t="str"/>
      <x:c r="J21" s="122" t="str"/>
      <x:c r="K21" s="122" t="str"/>
      <x:c r="L21" s="101" t="str"/>
      <x:c r="M21" s="101" t="str"/>
      <x:c r="N21" s="136" t="str"/>
      <x:c r="O21" s="136" t="str"/>
      <x:c r="P21" s="104" t="str"/>
    </x:row>
    <x:row r="22" ht="58" customHeight="1">
      <x:c r="A22" s="148" t="str"/>
      <x:c r="B22" s="15" t="str"/>
      <x:c r="C22" s="149" t="str">
        <x:f>IFERROR(VLOOKUP(B22,'Test Cases'!$A$5:$C$22,3,FALSE),"")</x:f>
      </x:c>
      <x:c r="D22" s="154" t="str"/>
      <x:c r="E22" s="154" t="str"/>
      <x:c r="F22" s="15" t="str"/>
      <x:c r="G22" s="122" t="str"/>
      <x:c r="H22" s="122" t="str"/>
      <x:c r="I22" s="122" t="str"/>
      <x:c r="J22" s="122" t="str"/>
      <x:c r="K22" s="122" t="str"/>
      <x:c r="L22" s="101" t="str"/>
      <x:c r="M22" s="101" t="str"/>
      <x:c r="N22" s="136" t="str"/>
      <x:c r="O22" s="136" t="str"/>
      <x:c r="P22" s="104" t="str"/>
    </x:row>
    <x:row r="23" ht="58" customHeight="1">
      <x:c r="A23" s="148" t="str"/>
      <x:c r="B23" s="15" t="str"/>
      <x:c r="C23" s="149" t="str">
        <x:f>IFERROR(VLOOKUP(B23,'Test Cases'!$A$5:$C$22,3,FALSE),"")</x:f>
      </x:c>
      <x:c r="D23" s="154" t="str"/>
      <x:c r="E23" s="154" t="str"/>
      <x:c r="F23" s="15" t="str"/>
      <x:c r="G23" s="122" t="str"/>
      <x:c r="H23" s="122" t="str"/>
      <x:c r="I23" s="122" t="str"/>
      <x:c r="J23" s="122" t="str"/>
      <x:c r="K23" s="122" t="str"/>
      <x:c r="L23" s="101" t="str"/>
      <x:c r="M23" s="101" t="str"/>
      <x:c r="N23" s="136" t="str"/>
      <x:c r="O23" s="136" t="str"/>
      <x:c r="P23" s="104" t="str"/>
    </x:row>
    <x:row r="24" ht="58" customHeight="1">
      <x:c r="A24" s="148" t="str"/>
      <x:c r="B24" s="15" t="str"/>
      <x:c r="C24" s="149" t="str">
        <x:f>IFERROR(VLOOKUP(B24,'Test Cases'!$A$5:$C$22,3,FALSE),"")</x:f>
      </x:c>
      <x:c r="D24" s="154" t="str"/>
      <x:c r="E24" s="154" t="str"/>
      <x:c r="F24" s="15" t="str"/>
      <x:c r="G24" s="122" t="str"/>
      <x:c r="H24" s="122" t="str"/>
      <x:c r="I24" s="122" t="str"/>
      <x:c r="J24" s="122" t="str"/>
      <x:c r="K24" s="122" t="str"/>
      <x:c r="L24" s="101" t="str"/>
      <x:c r="M24" s="101" t="str"/>
      <x:c r="N24" s="136" t="str"/>
      <x:c r="O24" s="136" t="str"/>
      <x:c r="P24" s="104" t="str"/>
    </x:row>
    <x:row r="25" ht="58" customHeight="1">
      <x:c r="A25" s="148" t="str"/>
      <x:c r="B25" s="15" t="str"/>
      <x:c r="C25" s="149" t="str">
        <x:f>IFERROR(VLOOKUP(B25,'Test Cases'!$A$5:$C$22,3,FALSE),"")</x:f>
      </x:c>
      <x:c r="D25" s="154" t="str"/>
      <x:c r="E25" s="154" t="str"/>
      <x:c r="F25" s="15" t="str"/>
      <x:c r="G25" s="122" t="str"/>
      <x:c r="H25" s="122" t="str"/>
      <x:c r="I25" s="122" t="str"/>
      <x:c r="J25" s="122" t="str"/>
      <x:c r="K25" s="122" t="str"/>
      <x:c r="L25" s="101" t="str"/>
      <x:c r="M25" s="101" t="str"/>
      <x:c r="N25" s="136" t="str"/>
      <x:c r="O25" s="136" t="str"/>
      <x:c r="P25" s="104" t="str"/>
    </x:row>
    <x:row r="26" ht="58" customHeight="1">
      <x:c r="A26" s="148" t="str"/>
      <x:c r="B26" s="15" t="str"/>
      <x:c r="C26" s="149" t="str">
        <x:f>IFERROR(VLOOKUP(B26,'Test Cases'!$A$5:$C$22,3,FALSE),"")</x:f>
      </x:c>
      <x:c r="D26" s="154" t="str"/>
      <x:c r="E26" s="154" t="str"/>
      <x:c r="F26" s="15" t="str"/>
      <x:c r="G26" s="122" t="str"/>
      <x:c r="H26" s="122" t="str"/>
      <x:c r="I26" s="122" t="str"/>
      <x:c r="J26" s="122" t="str"/>
      <x:c r="K26" s="122" t="str"/>
      <x:c r="L26" s="101" t="str"/>
      <x:c r="M26" s="101" t="str"/>
      <x:c r="N26" s="136" t="str"/>
      <x:c r="O26" s="136" t="str"/>
      <x:c r="P26" s="104" t="str"/>
    </x:row>
    <x:row r="27" ht="58" customHeight="1">
      <x:c r="A27" s="148" t="str"/>
      <x:c r="B27" s="15" t="str"/>
      <x:c r="C27" s="149" t="str">
        <x:f>IFERROR(VLOOKUP(B27,'Test Cases'!$A$5:$C$22,3,FALSE),"")</x:f>
      </x:c>
      <x:c r="D27" s="154" t="str"/>
      <x:c r="E27" s="154" t="str"/>
      <x:c r="F27" s="15" t="str"/>
      <x:c r="G27" s="122" t="str"/>
      <x:c r="H27" s="122" t="str"/>
      <x:c r="I27" s="122" t="str"/>
      <x:c r="J27" s="122" t="str"/>
      <x:c r="K27" s="122" t="str"/>
      <x:c r="L27" s="101" t="str"/>
      <x:c r="M27" s="101" t="str"/>
      <x:c r="N27" s="136" t="str"/>
      <x:c r="O27" s="136" t="str"/>
      <x:c r="P27" s="104" t="str"/>
    </x:row>
    <x:row r="28" ht="58" customHeight="1">
      <x:c r="A28" s="148" t="str"/>
      <x:c r="B28" s="15" t="str"/>
      <x:c r="C28" s="149" t="str">
        <x:f>IFERROR(VLOOKUP(B28,'Test Cases'!$A$5:$C$22,3,FALSE),"")</x:f>
      </x:c>
      <x:c r="D28" s="154" t="str"/>
      <x:c r="E28" s="154" t="str"/>
      <x:c r="F28" s="15" t="str"/>
      <x:c r="G28" s="122" t="str"/>
      <x:c r="H28" s="122" t="str"/>
      <x:c r="I28" s="122" t="str"/>
      <x:c r="J28" s="122" t="str"/>
      <x:c r="K28" s="122" t="str"/>
      <x:c r="L28" s="101" t="str"/>
      <x:c r="M28" s="101" t="str"/>
      <x:c r="N28" s="136" t="str"/>
      <x:c r="O28" s="136" t="str"/>
      <x:c r="P28" s="104" t="str"/>
    </x:row>
    <x:row r="29" ht="58" customHeight="1">
      <x:c r="A29" s="148" t="str"/>
      <x:c r="B29" s="15" t="str"/>
      <x:c r="C29" s="149" t="str">
        <x:f>IFERROR(VLOOKUP(B29,'Test Cases'!$A$5:$C$22,3,FALSE),"")</x:f>
      </x:c>
      <x:c r="D29" s="154" t="str"/>
      <x:c r="E29" s="154" t="str"/>
      <x:c r="F29" s="15" t="str"/>
      <x:c r="G29" s="122" t="str"/>
      <x:c r="H29" s="122" t="str"/>
      <x:c r="I29" s="122" t="str"/>
      <x:c r="J29" s="122" t="str"/>
      <x:c r="K29" s="122" t="str"/>
      <x:c r="L29" s="101" t="str"/>
      <x:c r="M29" s="101" t="str"/>
      <x:c r="N29" s="136" t="str"/>
      <x:c r="O29" s="136" t="str"/>
      <x:c r="P29" s="104" t="str"/>
    </x:row>
    <x:row r="30" ht="58" customHeight="1">
      <x:c r="A30" s="148" t="str"/>
      <x:c r="B30" s="15" t="str"/>
      <x:c r="C30" s="149" t="str">
        <x:f>IFERROR(VLOOKUP(B30,'Test Cases'!$A$5:$C$22,3,FALSE),"")</x:f>
      </x:c>
      <x:c r="D30" s="154" t="str"/>
      <x:c r="E30" s="154" t="str"/>
      <x:c r="F30" s="15" t="str"/>
      <x:c r="G30" s="122" t="str"/>
      <x:c r="H30" s="122" t="str"/>
      <x:c r="I30" s="122" t="str"/>
      <x:c r="J30" s="122" t="str"/>
      <x:c r="K30" s="122" t="str"/>
      <x:c r="L30" s="101" t="str"/>
      <x:c r="M30" s="101" t="str"/>
      <x:c r="N30" s="136" t="str"/>
      <x:c r="O30" s="136" t="str"/>
      <x:c r="P30" s="104" t="str"/>
    </x:row>
    <x:row r="31" ht="58" customHeight="1">
      <x:c r="A31" s="148" t="str"/>
      <x:c r="B31" s="15" t="str"/>
      <x:c r="C31" s="149" t="str">
        <x:f>IFERROR(VLOOKUP(B31,'Test Cases'!$A$5:$C$22,3,FALSE),"")</x:f>
      </x:c>
      <x:c r="D31" s="154" t="str"/>
      <x:c r="E31" s="154" t="str"/>
      <x:c r="F31" s="15" t="str"/>
      <x:c r="G31" s="122" t="str"/>
      <x:c r="H31" s="122" t="str"/>
      <x:c r="I31" s="122" t="str"/>
      <x:c r="J31" s="122" t="str"/>
      <x:c r="K31" s="122" t="str"/>
      <x:c r="L31" s="101" t="str"/>
      <x:c r="M31" s="101" t="str"/>
      <x:c r="N31" s="136" t="str"/>
      <x:c r="O31" s="136" t="str"/>
      <x:c r="P31" s="104" t="str"/>
    </x:row>
    <x:row r="32" ht="58" customHeight="1">
      <x:c r="A32" s="148" t="str"/>
      <x:c r="B32" s="15" t="str"/>
      <x:c r="C32" s="149" t="str">
        <x:f>IFERROR(VLOOKUP(B32,'Test Cases'!$A$5:$C$22,3,FALSE),"")</x:f>
      </x:c>
      <x:c r="D32" s="154" t="str"/>
      <x:c r="E32" s="154" t="str"/>
      <x:c r="F32" s="15" t="str"/>
      <x:c r="G32" s="122" t="str"/>
      <x:c r="H32" s="122" t="str"/>
      <x:c r="I32" s="122" t="str"/>
      <x:c r="J32" s="122" t="str"/>
      <x:c r="K32" s="122" t="str"/>
      <x:c r="L32" s="101" t="str"/>
      <x:c r="M32" s="101" t="str"/>
      <x:c r="N32" s="136" t="str"/>
      <x:c r="O32" s="136" t="str"/>
      <x:c r="P32" s="104" t="str"/>
    </x:row>
    <x:row r="33" ht="58" customHeight="1">
      <x:c r="A33" s="148" t="str"/>
      <x:c r="B33" s="15" t="str"/>
      <x:c r="C33" s="149" t="str">
        <x:f>IFERROR(VLOOKUP(B33,'Test Cases'!$A$5:$C$22,3,FALSE),"")</x:f>
      </x:c>
      <x:c r="D33" s="154" t="str"/>
      <x:c r="E33" s="154" t="str"/>
      <x:c r="F33" s="15" t="str"/>
      <x:c r="G33" s="122" t="str"/>
      <x:c r="H33" s="122" t="str"/>
      <x:c r="I33" s="122" t="str"/>
      <x:c r="J33" s="122" t="str"/>
      <x:c r="K33" s="122" t="str"/>
      <x:c r="L33" s="101" t="str"/>
      <x:c r="M33" s="101" t="str"/>
      <x:c r="N33" s="136" t="str"/>
      <x:c r="O33" s="136" t="str"/>
      <x:c r="P33" s="104" t="str"/>
    </x:row>
    <x:row r="34" ht="58" customHeight="1">
      <x:c r="A34" s="148" t="str"/>
      <x:c r="B34" s="15" t="str"/>
      <x:c r="C34" s="149" t="str">
        <x:f>IFERROR(VLOOKUP(B34,'Test Cases'!$A$5:$C$22,3,FALSE),"")</x:f>
      </x:c>
      <x:c r="D34" s="154" t="str"/>
      <x:c r="E34" s="154" t="str"/>
      <x:c r="F34" s="15" t="str"/>
      <x:c r="G34" s="122" t="str"/>
      <x:c r="H34" s="122" t="str"/>
      <x:c r="I34" s="122" t="str"/>
      <x:c r="J34" s="122" t="str"/>
      <x:c r="K34" s="122" t="str"/>
      <x:c r="L34" s="101" t="str"/>
      <x:c r="M34" s="101" t="str"/>
      <x:c r="N34" s="136" t="str"/>
      <x:c r="O34" s="136" t="str"/>
      <x:c r="P34" s="104" t="str"/>
    </x:row>
    <x:row r="35" ht="58" customHeight="1">
      <x:c r="A35" s="148" t="str"/>
      <x:c r="B35" s="15" t="str"/>
      <x:c r="C35" s="149" t="str">
        <x:f>IFERROR(VLOOKUP(B35,'Test Cases'!$A$5:$C$22,3,FALSE),"")</x:f>
      </x:c>
      <x:c r="D35" s="154" t="str"/>
      <x:c r="E35" s="154" t="str"/>
      <x:c r="F35" s="15" t="str"/>
      <x:c r="G35" s="122" t="str"/>
      <x:c r="H35" s="122" t="str"/>
      <x:c r="I35" s="122" t="str"/>
      <x:c r="J35" s="122" t="str"/>
      <x:c r="K35" s="122" t="str"/>
      <x:c r="L35" s="101" t="str"/>
      <x:c r="M35" s="101" t="str"/>
      <x:c r="N35" s="136" t="str"/>
      <x:c r="O35" s="136" t="str"/>
      <x:c r="P35" s="104" t="str"/>
    </x:row>
    <x:row r="36" ht="58" customHeight="1">
      <x:c r="A36" s="148" t="str"/>
      <x:c r="B36" s="15" t="str"/>
      <x:c r="C36" s="149" t="str">
        <x:f>IFERROR(VLOOKUP(B36,'Test Cases'!$A$5:$C$22,3,FALSE),"")</x:f>
      </x:c>
      <x:c r="D36" s="154" t="str"/>
      <x:c r="E36" s="154" t="str"/>
      <x:c r="F36" s="15" t="str"/>
      <x:c r="G36" s="122" t="str"/>
      <x:c r="H36" s="122" t="str"/>
      <x:c r="I36" s="122" t="str"/>
      <x:c r="J36" s="122" t="str"/>
      <x:c r="K36" s="122" t="str"/>
      <x:c r="L36" s="101" t="str"/>
      <x:c r="M36" s="101" t="str"/>
      <x:c r="N36" s="136" t="str"/>
      <x:c r="O36" s="136" t="str"/>
      <x:c r="P36" s="104" t="str"/>
    </x:row>
    <x:row r="37" ht="58" customHeight="1">
      <x:c r="A37" s="148" t="str"/>
      <x:c r="B37" s="15" t="str"/>
      <x:c r="C37" s="149" t="str">
        <x:f>IFERROR(VLOOKUP(B37,'Test Cases'!$A$5:$C$22,3,FALSE),"")</x:f>
      </x:c>
      <x:c r="D37" s="154" t="str"/>
      <x:c r="E37" s="154" t="str"/>
      <x:c r="F37" s="15" t="str"/>
      <x:c r="G37" s="122" t="str"/>
      <x:c r="H37" s="122" t="str"/>
      <x:c r="I37" s="122" t="str"/>
      <x:c r="J37" s="122" t="str"/>
      <x:c r="K37" s="122" t="str"/>
      <x:c r="L37" s="101" t="str"/>
      <x:c r="M37" s="101" t="str"/>
      <x:c r="N37" s="136" t="str"/>
      <x:c r="O37" s="136" t="str"/>
      <x:c r="P37" s="104" t="str"/>
    </x:row>
    <x:row r="38" ht="58" customHeight="1">
      <x:c r="A38" s="148" t="str"/>
      <x:c r="B38" s="15" t="str"/>
      <x:c r="C38" s="149" t="str">
        <x:f>IFERROR(VLOOKUP(B38,'Test Cases'!$A$5:$C$22,3,FALSE),"")</x:f>
      </x:c>
      <x:c r="D38" s="154" t="str"/>
      <x:c r="E38" s="154" t="str"/>
      <x:c r="F38" s="15" t="str"/>
      <x:c r="G38" s="122" t="str"/>
      <x:c r="H38" s="122" t="str"/>
      <x:c r="I38" s="122" t="str"/>
      <x:c r="J38" s="122" t="str"/>
      <x:c r="K38" s="122" t="str"/>
      <x:c r="L38" s="101" t="str"/>
      <x:c r="M38" s="101" t="str"/>
      <x:c r="N38" s="136" t="str"/>
      <x:c r="O38" s="136" t="str"/>
      <x:c r="P38" s="104" t="str"/>
    </x:row>
    <x:row r="39" ht="58" customHeight="1">
      <x:c r="A39" s="148" t="str"/>
      <x:c r="B39" s="15" t="str"/>
      <x:c r="C39" s="149" t="str">
        <x:f>IFERROR(VLOOKUP(B39,'Test Cases'!$A$5:$C$22,3,FALSE),"")</x:f>
      </x:c>
      <x:c r="D39" s="154" t="str"/>
      <x:c r="E39" s="154" t="str"/>
      <x:c r="F39" s="15" t="str"/>
      <x:c r="G39" s="122" t="str"/>
      <x:c r="H39" s="122" t="str"/>
      <x:c r="I39" s="122" t="str"/>
      <x:c r="J39" s="122" t="str"/>
      <x:c r="K39" s="122" t="str"/>
      <x:c r="L39" s="101" t="str"/>
      <x:c r="M39" s="101" t="str"/>
      <x:c r="N39" s="136" t="str"/>
      <x:c r="O39" s="136" t="str"/>
      <x:c r="P39" s="104" t="str"/>
    </x:row>
    <x:row r="40" ht="58" customHeight="1">
      <x:c r="A40" s="148" t="str"/>
      <x:c r="B40" s="15" t="str"/>
      <x:c r="C40" s="149" t="str">
        <x:f>IFERROR(VLOOKUP(B40,'Test Cases'!$A$5:$C$22,3,FALSE),"")</x:f>
      </x:c>
      <x:c r="D40" s="154" t="str"/>
      <x:c r="E40" s="154" t="str"/>
      <x:c r="F40" s="15" t="str"/>
      <x:c r="G40" s="122" t="str"/>
      <x:c r="H40" s="122" t="str"/>
      <x:c r="I40" s="122" t="str"/>
      <x:c r="J40" s="122" t="str"/>
      <x:c r="K40" s="122" t="str"/>
      <x:c r="L40" s="101" t="str"/>
      <x:c r="M40" s="101" t="str"/>
      <x:c r="N40" s="136" t="str"/>
      <x:c r="O40" s="136" t="str"/>
      <x:c r="P40" s="104" t="str"/>
    </x:row>
    <x:row r="41" ht="58" customHeight="1">
      <x:c r="A41" s="148" t="str"/>
      <x:c r="B41" s="15" t="str"/>
      <x:c r="C41" s="149" t="str">
        <x:f>IFERROR(VLOOKUP(B41,'Test Cases'!$A$5:$C$22,3,FALSE),"")</x:f>
      </x:c>
      <x:c r="D41" s="154" t="str"/>
      <x:c r="E41" s="154" t="str"/>
      <x:c r="F41" s="15" t="str"/>
      <x:c r="G41" s="122" t="str"/>
      <x:c r="H41" s="122" t="str"/>
      <x:c r="I41" s="122" t="str"/>
      <x:c r="J41" s="122" t="str"/>
      <x:c r="K41" s="122" t="str"/>
      <x:c r="L41" s="101" t="str"/>
      <x:c r="M41" s="101" t="str"/>
      <x:c r="N41" s="136" t="str"/>
      <x:c r="O41" s="136" t="str"/>
      <x:c r="P41" s="104" t="str"/>
    </x:row>
    <x:row r="42" ht="58" customHeight="1">
      <x:c r="A42" s="148" t="str"/>
      <x:c r="B42" s="15" t="str"/>
      <x:c r="C42" s="149" t="str">
        <x:f>IFERROR(VLOOKUP(B42,'Test Cases'!$A$5:$C$22,3,FALSE),"")</x:f>
      </x:c>
      <x:c r="D42" s="154" t="str"/>
      <x:c r="E42" s="154" t="str"/>
      <x:c r="F42" s="15" t="str"/>
      <x:c r="G42" s="122" t="str"/>
      <x:c r="H42" s="122" t="str"/>
      <x:c r="I42" s="122" t="str"/>
      <x:c r="J42" s="122" t="str"/>
      <x:c r="K42" s="122" t="str"/>
      <x:c r="L42" s="101" t="str"/>
      <x:c r="M42" s="101" t="str"/>
      <x:c r="N42" s="136" t="str"/>
      <x:c r="O42" s="136" t="str"/>
      <x:c r="P42" s="104" t="str"/>
    </x:row>
    <x:row r="43" ht="58" customHeight="1">
      <x:c r="A43" s="148" t="str"/>
      <x:c r="B43" s="15" t="str"/>
      <x:c r="C43" s="149" t="str">
        <x:f>IFERROR(VLOOKUP(B43,'Test Cases'!$A$5:$C$22,3,FALSE),"")</x:f>
      </x:c>
      <x:c r="D43" s="154" t="str"/>
      <x:c r="E43" s="154" t="str"/>
      <x:c r="F43" s="15" t="str"/>
      <x:c r="G43" s="122" t="str"/>
      <x:c r="H43" s="122" t="str"/>
      <x:c r="I43" s="122" t="str"/>
      <x:c r="J43" s="122" t="str"/>
      <x:c r="K43" s="122" t="str"/>
      <x:c r="L43" s="101" t="str"/>
      <x:c r="M43" s="101" t="str"/>
      <x:c r="N43" s="136" t="str"/>
      <x:c r="O43" s="136" t="str"/>
      <x:c r="P43" s="104" t="str"/>
    </x:row>
    <x:row r="44" ht="58" customHeight="1">
      <x:c r="A44" s="148" t="str"/>
      <x:c r="B44" s="15" t="str"/>
      <x:c r="C44" s="149" t="str">
        <x:f>IFERROR(VLOOKUP(B44,'Test Cases'!$A$5:$C$22,3,FALSE),"")</x:f>
      </x:c>
      <x:c r="D44" s="154" t="str"/>
      <x:c r="E44" s="154" t="str"/>
      <x:c r="F44" s="15" t="str"/>
      <x:c r="G44" s="122" t="str"/>
      <x:c r="H44" s="122" t="str"/>
      <x:c r="I44" s="122" t="str"/>
      <x:c r="J44" s="122" t="str"/>
      <x:c r="K44" s="122" t="str"/>
      <x:c r="L44" s="101" t="str"/>
      <x:c r="M44" s="101" t="str"/>
      <x:c r="N44" s="136" t="str"/>
      <x:c r="O44" s="136" t="str"/>
      <x:c r="P44" s="104" t="str"/>
    </x:row>
    <x:row r="45" ht="58" customHeight="1">
      <x:c r="A45" s="148" t="str"/>
      <x:c r="B45" s="15" t="str"/>
      <x:c r="C45" s="149" t="str">
        <x:f>IFERROR(VLOOKUP(B45,'Test Cases'!$A$5:$C$22,3,FALSE),"")</x:f>
      </x:c>
      <x:c r="D45" s="154" t="str"/>
      <x:c r="E45" s="154" t="str"/>
      <x:c r="F45" s="15" t="str"/>
      <x:c r="G45" s="122" t="str"/>
      <x:c r="H45" s="122" t="str"/>
      <x:c r="I45" s="122" t="str"/>
      <x:c r="J45" s="122" t="str"/>
      <x:c r="K45" s="122" t="str"/>
      <x:c r="L45" s="101" t="str"/>
      <x:c r="M45" s="101" t="str"/>
      <x:c r="N45" s="136" t="str"/>
      <x:c r="O45" s="136" t="str"/>
      <x:c r="P45" s="104" t="str"/>
    </x:row>
    <x:row r="46" ht="58" customHeight="1">
      <x:c r="A46" s="148" t="str"/>
      <x:c r="B46" s="15" t="str"/>
      <x:c r="C46" s="149" t="str">
        <x:f>IFERROR(VLOOKUP(B46,'Test Cases'!$A$5:$C$22,3,FALSE),"")</x:f>
      </x:c>
      <x:c r="D46" s="154" t="str"/>
      <x:c r="E46" s="154" t="str"/>
      <x:c r="F46" s="15" t="str"/>
      <x:c r="G46" s="122" t="str"/>
      <x:c r="H46" s="122" t="str"/>
      <x:c r="I46" s="122" t="str"/>
      <x:c r="J46" s="122" t="str"/>
      <x:c r="K46" s="122" t="str"/>
      <x:c r="L46" s="101" t="str"/>
      <x:c r="M46" s="101" t="str"/>
      <x:c r="N46" s="136" t="str"/>
      <x:c r="O46" s="136" t="str"/>
      <x:c r="P46" s="104" t="str"/>
    </x:row>
    <x:row r="47" ht="58" customHeight="1">
      <x:c r="A47" s="148" t="str"/>
      <x:c r="B47" s="15" t="str"/>
      <x:c r="C47" s="149" t="str">
        <x:f>IFERROR(VLOOKUP(B47,'Test Cases'!$A$5:$C$22,3,FALSE),"")</x:f>
      </x:c>
      <x:c r="D47" s="154" t="str"/>
      <x:c r="E47" s="154" t="str"/>
      <x:c r="F47" s="15" t="str"/>
      <x:c r="G47" s="122" t="str"/>
      <x:c r="H47" s="122" t="str"/>
      <x:c r="I47" s="122" t="str"/>
      <x:c r="J47" s="122" t="str"/>
      <x:c r="K47" s="122" t="str"/>
      <x:c r="L47" s="101" t="str"/>
      <x:c r="M47" s="101" t="str"/>
      <x:c r="N47" s="136" t="str"/>
      <x:c r="O47" s="136" t="str"/>
      <x:c r="P47" s="104" t="str"/>
    </x:row>
    <x:row r="48" ht="58" customHeight="1">
      <x:c r="A48" s="148" t="str"/>
      <x:c r="B48" s="15" t="str"/>
      <x:c r="C48" s="149" t="str">
        <x:f>IFERROR(VLOOKUP(B48,'Test Cases'!$A$5:$C$22,3,FALSE),"")</x:f>
      </x:c>
      <x:c r="D48" s="154" t="str"/>
      <x:c r="E48" s="154" t="str"/>
      <x:c r="F48" s="15" t="str"/>
      <x:c r="G48" s="122" t="str"/>
      <x:c r="H48" s="122" t="str"/>
      <x:c r="I48" s="122" t="str"/>
      <x:c r="J48" s="122" t="str"/>
      <x:c r="K48" s="122" t="str"/>
      <x:c r="L48" s="101" t="str"/>
      <x:c r="M48" s="101" t="str"/>
      <x:c r="N48" s="136" t="str"/>
      <x:c r="O48" s="136" t="str"/>
      <x:c r="P48" s="104" t="str"/>
    </x:row>
    <x:row r="49" ht="58" customHeight="1">
      <x:c r="A49" s="148" t="str"/>
      <x:c r="B49" s="15" t="str"/>
      <x:c r="C49" s="149" t="str">
        <x:f>IFERROR(VLOOKUP(B49,'Test Cases'!$A$5:$C$22,3,FALSE),"")</x:f>
      </x:c>
      <x:c r="D49" s="154" t="str"/>
      <x:c r="E49" s="154" t="str"/>
      <x:c r="F49" s="15" t="str"/>
      <x:c r="G49" s="122" t="str"/>
      <x:c r="H49" s="122" t="str"/>
      <x:c r="I49" s="122" t="str"/>
      <x:c r="J49" s="122" t="str"/>
      <x:c r="K49" s="122" t="str"/>
      <x:c r="L49" s="101" t="str"/>
      <x:c r="M49" s="101" t="str"/>
      <x:c r="N49" s="136" t="str"/>
      <x:c r="O49" s="136" t="str"/>
      <x:c r="P49" s="104" t="str"/>
    </x:row>
    <x:row r="50" ht="58" customHeight="1">
      <x:c r="A50" s="148" t="str"/>
      <x:c r="B50" s="15" t="str"/>
      <x:c r="C50" s="149" t="str">
        <x:f>IFERROR(VLOOKUP(B50,'Test Cases'!$A$5:$C$22,3,FALSE),"")</x:f>
      </x:c>
      <x:c r="D50" s="154" t="str"/>
      <x:c r="E50" s="154" t="str"/>
      <x:c r="F50" s="15" t="str"/>
      <x:c r="G50" s="122" t="str"/>
      <x:c r="H50" s="122" t="str"/>
      <x:c r="I50" s="122" t="str"/>
      <x:c r="J50" s="122" t="str"/>
      <x:c r="K50" s="122" t="str"/>
      <x:c r="L50" s="101" t="str"/>
      <x:c r="M50" s="101" t="str"/>
      <x:c r="N50" s="136" t="str"/>
      <x:c r="O50" s="136" t="str"/>
      <x:c r="P50" s="104" t="str"/>
    </x:row>
    <x:row r="51" ht="58" customHeight="1">
      <x:c r="A51" s="148" t="str"/>
      <x:c r="B51" s="15" t="str"/>
      <x:c r="C51" s="149" t="str">
        <x:f>IFERROR(VLOOKUP(B51,'Test Cases'!$A$5:$C$22,3,FALSE),"")</x:f>
      </x:c>
      <x:c r="D51" s="154" t="str"/>
      <x:c r="E51" s="154" t="str"/>
      <x:c r="F51" s="15" t="str"/>
      <x:c r="G51" s="122" t="str"/>
      <x:c r="H51" s="122" t="str"/>
      <x:c r="I51" s="122" t="str"/>
      <x:c r="J51" s="122" t="str"/>
      <x:c r="K51" s="122" t="str"/>
      <x:c r="L51" s="101" t="str"/>
      <x:c r="M51" s="101" t="str"/>
      <x:c r="N51" s="136" t="str"/>
      <x:c r="O51" s="136" t="str"/>
      <x:c r="P51" s="104" t="str"/>
    </x:row>
    <x:row r="52" ht="58" customHeight="1">
      <x:c r="A52" s="148" t="str"/>
      <x:c r="B52" s="15" t="str"/>
      <x:c r="C52" s="149" t="str">
        <x:f>IFERROR(VLOOKUP(B52,'Test Cases'!$A$5:$C$22,3,FALSE),"")</x:f>
      </x:c>
      <x:c r="D52" s="154" t="str"/>
      <x:c r="E52" s="154" t="str"/>
      <x:c r="F52" s="15" t="str"/>
      <x:c r="G52" s="122" t="str"/>
      <x:c r="H52" s="122" t="str"/>
      <x:c r="I52" s="122" t="str"/>
      <x:c r="J52" s="122" t="str"/>
      <x:c r="K52" s="122" t="str"/>
      <x:c r="L52" s="101" t="str"/>
      <x:c r="M52" s="101" t="str"/>
      <x:c r="N52" s="136" t="str"/>
      <x:c r="O52" s="136" t="str"/>
      <x:c r="P52" s="104" t="str"/>
    </x:row>
    <x:row r="53" ht="58" customHeight="1">
      <x:c r="A53" s="148" t="str"/>
      <x:c r="B53" s="15" t="str"/>
      <x:c r="C53" s="149" t="str">
        <x:f>IFERROR(VLOOKUP(B53,'Test Cases'!$A$5:$C$22,3,FALSE),"")</x:f>
      </x:c>
      <x:c r="D53" s="154" t="str"/>
      <x:c r="E53" s="154" t="str"/>
      <x:c r="F53" s="15" t="str"/>
      <x:c r="G53" s="122" t="str"/>
      <x:c r="H53" s="122" t="str"/>
      <x:c r="I53" s="122" t="str"/>
      <x:c r="J53" s="122" t="str"/>
      <x:c r="K53" s="122" t="str"/>
      <x:c r="L53" s="101" t="str"/>
      <x:c r="M53" s="101" t="str"/>
      <x:c r="N53" s="136" t="str"/>
      <x:c r="O53" s="136" t="str"/>
      <x:c r="P53" s="104" t="str"/>
    </x:row>
    <x:row r="54" ht="58" customHeight="1">
      <x:c r="A54" s="150" t="str"/>
      <x:c r="B54" s="151" t="str"/>
      <x:c r="C54" s="152" t="str">
        <x:f>IFERROR(VLOOKUP(B54,'Test Cases'!$A$5:$C$22,3,FALSE),"")</x:f>
      </x:c>
      <x:c r="D54" s="155" t="str"/>
      <x:c r="E54" s="155" t="str"/>
      <x:c r="F54" s="151" t="str"/>
      <x:c r="G54" s="123" t="str"/>
      <x:c r="H54" s="123" t="str"/>
      <x:c r="I54" s="123" t="str"/>
      <x:c r="J54" s="123" t="str"/>
      <x:c r="K54" s="123" t="str"/>
      <x:c r="L54" s="102" t="str"/>
      <x:c r="M54" s="102" t="str"/>
      <x:c r="N54" s="139" t="str"/>
      <x:c r="O54" s="139" t="str"/>
      <x:c r="P54" s="105" t="str"/>
    </x:row>
  </x:sheetData>
  <x:mergeCells>
    <x:mergeCell ref="A1:P1"/>
    <x:mergeCell ref="A2:P2"/>
  </x:mergeCells>
  <x:conditionalFormatting sqref="D5:D54">
    <x:cfRule type="containsText" dxfId="9" priority="1" operator="containsText" text="P0"/>
    <x:cfRule type="containsText" dxfId="10" priority="2" operator="containsText" text="P1"/>
    <x:cfRule type="containsText" dxfId="11" priority="3" operator="containsText" text="P2"/>
    <x:cfRule type="containsText" dxfId="12" priority="4" operator="containsText" text="P3"/>
  </x:conditionalFormatting>
  <x:dataValidations count="5">
    <x:dataValidation type="list" sqref="B5:B54">
      <x:formula1>"CU-01,CU-02,CU-03,CU-04,CU-05,CU-06,CU-07,CU-08,CU-09,CU-10,CU-11,CU-12,CU-13,CU-14,CU-15,CU-16,CU-17,CU-18"</x:formula1>
    </x:dataValidation>
    <x:dataValidation type="list" sqref="D5:D54">
      <x:formula1>"P0,P1,P2,P3"</x:formula1>
    </x:dataValidation>
    <x:dataValidation type="list" sqref="E5:E54">
      <x:formula1>"Defect,UX,Accessibility,Performance,Content"</x:formula1>
    </x:dataValidation>
    <x:dataValidation type="list" sqref="L5:L54">
      <x:formula1>"Open,Investigating,Fixed,Won't Fix,Deferred"</x:formula1>
    </x:dataValidation>
    <x:dataValidation type="list" sqref="P5:P54">
      <x:formula1>"Now,Next,Later,Keep"</x:formula1>
    </x:dataValidation>
  </x:dataValidations>
  <x:pageMargins left="0.7" right="0.7" top="0.75" bottom="0.75" header="0.3" footer="0.3"/>
  <x:tableParts count="1">
    <x:tablePart xmlns:r="http://schemas.openxmlformats.org/officeDocument/2006/relationships" r:id="R235db27457f946b8"/>
  </x:tableParts>
</x:worksheet>
</file>

<file path=xl/worksheets/sheet5.xml><?xml version="1.0" encoding="utf-8"?>
<x:worksheet xmlns:x="http://schemas.openxmlformats.org/spreadsheetml/2006/main">
  <x:sheetViews>
    <x:sheetView showGridLines="0" workbookViewId="0"/>
  </x:sheetViews>
  <x:sheetFormatPr defaultRowHeight="15"/>
  <x:cols>
    <x:col min="1" max="1" width="20" hidden="0" customWidth="1"/>
    <x:col min="2" max="2" width="22" hidden="0" customWidth="1"/>
    <x:col min="3" max="3" width="14" hidden="0" customWidth="1"/>
    <x:col min="4" max="4" width="18" hidden="0" customWidth="1"/>
    <x:col min="5" max="5" width="18" hidden="0" customWidth="1"/>
    <x:col min="6" max="6" width="12" hidden="0" customWidth="1"/>
    <x:col min="7" max="7" width="18" hidden="0" customWidth="1"/>
    <x:col min="8" max="8" width="48" hidden="0" customWidth="1"/>
  </x:cols>
  <x:sheetData>
    <x:row r="1" ht="30" customHeight="1">
      <x:c r="A1" s="7" t="str">
        <x:v>入力候補・テストデータ</x:v>
      </x:c>
      <x:c r="B1" s="8"/>
      <x:c r="C1" s="8"/>
      <x:c r="D1" s="8"/>
      <x:c r="E1" s="8"/>
      <x:c r="F1" s="8"/>
      <x:c r="G1" s="8"/>
      <x:c r="H1" s="8"/>
    </x:row>
    <x:row r="2" ht="22" customHeight="1">
      <x:c r="A2" s="9" t="str">
        <x:v>ドロップダウンの定義と、Computer Useで使う固定テストデータです。</x:v>
      </x:c>
      <x:c r="B2" s="8"/>
      <x:c r="C2" s="8"/>
      <x:c r="D2" s="8"/>
      <x:c r="E2" s="8"/>
      <x:c r="F2" s="8"/>
      <x:c r="G2" s="8"/>
      <x:c r="H2" s="8"/>
    </x:row>
    <x:row r="4">
      <x:c r="A4" s="39" t="str">
        <x:v>Status</x:v>
      </x:c>
      <x:c r="B4" s="40" t="str">
        <x:v>Environment</x:v>
      </x:c>
      <x:c r="C4" s="40" t="str">
        <x:v>Priority</x:v>
      </x:c>
      <x:c r="D4" s="40" t="str">
        <x:v>Issue Type</x:v>
      </x:c>
      <x:c r="E4" s="40" t="str">
        <x:v>Issue Status</x:v>
      </x:c>
      <x:c r="F4" s="40" t="str">
        <x:v>Active</x:v>
      </x:c>
      <x:c r="G4" s="40" t="str">
        <x:v>Automation</x:v>
      </x:c>
      <x:c r="H4" s="41" t="str">
        <x:v>Source</x:v>
      </x:c>
    </x:row>
    <x:row r="5">
      <x:c r="A5" s="70" t="str">
        <x:v>Not Run</x:v>
      </x:c>
      <x:c r="B5" s="71" t="str">
        <x:v>ENV-01 Desktop</x:v>
      </x:c>
      <x:c r="C5" s="71" t="str">
        <x:v>P0</x:v>
      </x:c>
      <x:c r="D5" s="71" t="str">
        <x:v>Defect</x:v>
      </x:c>
      <x:c r="E5" s="71" t="str">
        <x:v>Open</x:v>
      </x:c>
      <x:c r="F5" s="71" t="str">
        <x:v>Yes</x:v>
      </x:c>
      <x:c r="G5" s="71" t="str">
        <x:v>Manual Only</x:v>
      </x:c>
      <x:c r="H5" s="72" t="str">
        <x:v>仕様書: shogi-computer-use-black-box-test-plan.md</x:v>
      </x:c>
    </x:row>
    <x:row r="6">
      <x:c r="A6" s="89" t="str">
        <x:v>Pass</x:v>
      </x:c>
      <x:c r="B6" s="90" t="str">
        <x:v>ENV-02 Narrow</x:v>
      </x:c>
      <x:c r="C6" s="90" t="str">
        <x:v>P1</x:v>
      </x:c>
      <x:c r="D6" s="90" t="str">
        <x:v>UX</x:v>
      </x:c>
      <x:c r="E6" s="90" t="str">
        <x:v>Investigating</x:v>
      </x:c>
      <x:c r="F6" s="90" t="str">
        <x:v>No</x:v>
      </x:c>
      <x:c r="G6" s="90" t="str">
        <x:v>Candidate</x:v>
      </x:c>
      <x:c r="H6" s="91" t="str">
        <x:v>https://harutasti.github.io/Shogi/</x:v>
      </x:c>
    </x:row>
    <x:row r="7">
      <x:c r="A7" s="89" t="str">
        <x:v>Fail</x:v>
      </x:c>
      <x:c r="B7" s="90" t="str"/>
      <x:c r="C7" s="90" t="str">
        <x:v>P2</x:v>
      </x:c>
      <x:c r="D7" s="90" t="str">
        <x:v>Accessibility</x:v>
      </x:c>
      <x:c r="E7" s="90" t="str">
        <x:v>Fixed</x:v>
      </x:c>
      <x:c r="F7" s="90" t="str"/>
      <x:c r="G7" s="90" t="str">
        <x:v>Automated</x:v>
      </x:c>
      <x:c r="H7" s="91" t="str"/>
    </x:row>
    <x:row r="8">
      <x:c r="A8" s="89" t="str">
        <x:v>Blocked</x:v>
      </x:c>
      <x:c r="B8" s="90" t="str"/>
      <x:c r="C8" s="90" t="str">
        <x:v>P3</x:v>
      </x:c>
      <x:c r="D8" s="90" t="str">
        <x:v>Performance</x:v>
      </x:c>
      <x:c r="E8" s="90" t="str">
        <x:v>Won't Fix</x:v>
      </x:c>
      <x:c r="F8" s="90" t="str"/>
      <x:c r="G8" s="90" t="str"/>
      <x:c r="H8" s="91" t="str"/>
    </x:row>
    <x:row r="9">
      <x:c r="A9" s="73" t="str">
        <x:v>N/A</x:v>
      </x:c>
      <x:c r="B9" s="74" t="str"/>
      <x:c r="C9" s="74" t="str"/>
      <x:c r="D9" s="74" t="str">
        <x:v>Content</x:v>
      </x:c>
      <x:c r="E9" s="74" t="str">
        <x:v>Deferred</x:v>
      </x:c>
      <x:c r="F9" s="74" t="str"/>
      <x:c r="G9" s="74" t="str"/>
      <x:c r="H9" s="75" t="str"/>
    </x:row>
    <x:row r="12">
      <x:c r="A12" s="39" t="str">
        <x:v>正常系KIF（このセルをコピー）</x:v>
      </x:c>
      <x:c r="B12" s="40" t="str"/>
      <x:c r="C12" s="40" t="str"/>
      <x:c r="D12" s="40" t="str"/>
      <x:c r="E12" s="40" t="str"/>
      <x:c r="F12" s="40" t="str"/>
      <x:c r="G12" s="40" t="str"/>
      <x:c r="H12" s="41" t="str"/>
    </x:row>
    <x:row r="13">
      <x:c r="A13" s="158" t="str">
        <x:v># ---- Computer Use テスト棋譜 ----
手合割：平手
先手：テスト先手
後手：テスト後手
手数----指手---------消費時間--
   1 ７六歩(77)   ( 0:00/00:00:00)
   2 ３四歩(33)   ( 0:00/00:00:00)
   3 ２二角成(88) ( 0:00/00:00:00)
   4 同　銀(31)   ( 0:00/00:00:00)
   5 ４五角打     ( 0:00/00:00:00)
   6 投了
まで5手で先手の勝ち</x:v>
      </x:c>
      <x:c r="B13" s="158"/>
      <x:c r="C13" s="158"/>
      <x:c r="D13" s="158"/>
      <x:c r="E13" s="158"/>
      <x:c r="F13" s="158"/>
      <x:c r="G13" s="158"/>
      <x:c r="H13" s="158"/>
    </x:row>
    <x:row r="14">
      <x:c r="A14" s="158"/>
      <x:c r="B14" s="158"/>
      <x:c r="C14" s="158"/>
      <x:c r="D14" s="158"/>
      <x:c r="E14" s="158"/>
      <x:c r="F14" s="158"/>
      <x:c r="G14" s="158"/>
      <x:c r="H14" s="158"/>
    </x:row>
    <x:row r="15">
      <x:c r="A15" s="158"/>
      <x:c r="B15" s="158"/>
      <x:c r="C15" s="158"/>
      <x:c r="D15" s="158"/>
      <x:c r="E15" s="158"/>
      <x:c r="F15" s="158"/>
      <x:c r="G15" s="158"/>
      <x:c r="H15" s="158"/>
    </x:row>
    <x:row r="16">
      <x:c r="A16" s="158"/>
      <x:c r="B16" s="158"/>
      <x:c r="C16" s="158"/>
      <x:c r="D16" s="158"/>
      <x:c r="E16" s="158"/>
      <x:c r="F16" s="158"/>
      <x:c r="G16" s="158"/>
      <x:c r="H16" s="158"/>
    </x:row>
    <x:row r="17">
      <x:c r="A17" s="158"/>
      <x:c r="B17" s="158"/>
      <x:c r="C17" s="158"/>
      <x:c r="D17" s="158"/>
      <x:c r="E17" s="158"/>
      <x:c r="F17" s="158"/>
      <x:c r="G17" s="158"/>
      <x:c r="H17" s="158"/>
    </x:row>
    <x:row r="18">
      <x:c r="A18" s="158"/>
      <x:c r="B18" s="158"/>
      <x:c r="C18" s="158"/>
      <x:c r="D18" s="158"/>
      <x:c r="E18" s="158"/>
      <x:c r="F18" s="158"/>
      <x:c r="G18" s="158"/>
      <x:c r="H18" s="158"/>
    </x:row>
    <x:row r="19">
      <x:c r="A19" s="158"/>
      <x:c r="B19" s="158"/>
      <x:c r="C19" s="158"/>
      <x:c r="D19" s="158"/>
      <x:c r="E19" s="158"/>
      <x:c r="F19" s="158"/>
      <x:c r="G19" s="158"/>
      <x:c r="H19" s="158"/>
    </x:row>
    <x:row r="20">
      <x:c r="A20" s="158"/>
      <x:c r="B20" s="158"/>
      <x:c r="C20" s="158"/>
      <x:c r="D20" s="158"/>
      <x:c r="E20" s="158"/>
      <x:c r="F20" s="158"/>
      <x:c r="G20" s="158"/>
      <x:c r="H20" s="158"/>
    </x:row>
    <x:row r="21">
      <x:c r="A21" s="158"/>
      <x:c r="B21" s="158"/>
      <x:c r="C21" s="158"/>
      <x:c r="D21" s="158"/>
      <x:c r="E21" s="158"/>
      <x:c r="F21" s="158"/>
      <x:c r="G21" s="158"/>
      <x:c r="H21" s="158"/>
    </x:row>
    <x:row r="22">
      <x:c r="A22" s="158"/>
      <x:c r="B22" s="158"/>
      <x:c r="C22" s="158"/>
      <x:c r="D22" s="158"/>
      <x:c r="E22" s="158"/>
      <x:c r="F22" s="158"/>
      <x:c r="G22" s="158"/>
      <x:c r="H22" s="158"/>
    </x:row>
    <x:row r="23">
      <x:c r="A23" s="158"/>
      <x:c r="B23" s="158"/>
      <x:c r="C23" s="158"/>
      <x:c r="D23" s="158"/>
      <x:c r="E23" s="158"/>
      <x:c r="F23" s="158"/>
      <x:c r="G23" s="158"/>
      <x:c r="H23" s="158"/>
    </x:row>
    <x:row r="24">
      <x:c r="A24" s="158"/>
      <x:c r="B24" s="158"/>
      <x:c r="C24" s="158"/>
      <x:c r="D24" s="158"/>
      <x:c r="E24" s="158"/>
      <x:c r="F24" s="158"/>
      <x:c r="G24" s="158"/>
      <x:c r="H24" s="158"/>
    </x:row>
    <x:row r="26">
      <x:c r="A26" s="39" t="str">
        <x:v>異常系KIF（このセルをコピー）</x:v>
      </x:c>
      <x:c r="B26" s="40" t="str"/>
      <x:c r="C26" s="40" t="str"/>
      <x:c r="D26" s="40" t="str"/>
      <x:c r="E26" s="40" t="str"/>
      <x:c r="F26" s="40" t="str"/>
      <x:c r="G26" s="40" t="str"/>
      <x:c r="H26" s="41" t="str"/>
    </x:row>
    <x:row r="27">
      <x:c r="A27" s="158" t="str">
        <x:v>手数----指手---------消費時間--
   1 ５五歩(77)</x:v>
      </x:c>
      <x:c r="B27" s="158"/>
      <x:c r="C27" s="158"/>
      <x:c r="D27" s="158"/>
      <x:c r="E27" s="158"/>
      <x:c r="F27" s="158"/>
      <x:c r="G27" s="158"/>
      <x:c r="H27" s="158"/>
    </x:row>
    <x:row r="28">
      <x:c r="A28" s="158"/>
      <x:c r="B28" s="158"/>
      <x:c r="C28" s="158"/>
      <x:c r="D28" s="158"/>
      <x:c r="E28" s="158"/>
      <x:c r="F28" s="158"/>
      <x:c r="G28" s="158"/>
      <x:c r="H28" s="158"/>
    </x:row>
    <x:row r="29">
      <x:c r="A29" s="158"/>
      <x:c r="B29" s="158"/>
      <x:c r="C29" s="158"/>
      <x:c r="D29" s="158"/>
      <x:c r="E29" s="158"/>
      <x:c r="F29" s="158"/>
      <x:c r="G29" s="158"/>
      <x:c r="H29" s="158"/>
    </x:row>
  </x:sheetData>
  <x:mergeCells>
    <x:mergeCell ref="A1:H1"/>
    <x:mergeCell ref="A2:H2"/>
    <x:mergeCell ref="A12:H12"/>
    <x:mergeCell ref="A13:H24"/>
    <x:mergeCell ref="A26:H26"/>
    <x:mergeCell ref="A27:H29"/>
  </x:mergeCells>
  <x:pageMargins left="0.7" right="0.7" top="0.75" bottom="0.75" header="0.3" footer="0.3"/>
</x:worksheet>
</file>
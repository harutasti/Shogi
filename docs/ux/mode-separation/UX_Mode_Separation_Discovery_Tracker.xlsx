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35dd32e7404a5d" /></Relationships>
</file>

<file path=xl/workbook.xml><?xml version="1.0" encoding="utf-8"?>
<x:workbook xmlns:x="http://schemas.openxmlformats.org/spreadsheetml/2006/main">
  <x:sheets>
    <x:sheet xmlns:r="http://schemas.openxmlformats.org/officeDocument/2006/relationships" name="Scenarios" sheetId="1" r:id="R774a744d470549b5"/>
    <x:sheet xmlns:r="http://schemas.openxmlformats.org/officeDocument/2006/relationships" name="Baseline" sheetId="2" r:id="Rbb44d1dd6693470e"/>
    <x:sheet xmlns:r="http://schemas.openxmlformats.org/officeDocument/2006/relationships" name="Prototype Results" sheetId="3" r:id="R56055f288d6c4652"/>
    <x:sheet xmlns:r="http://schemas.openxmlformats.org/officeDocument/2006/relationships" name="Overview" sheetId="4" r:id="R29527a1ab12c4d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0"/>
    <x:numFmt numFmtId="202" formatCode="0"/>
    <x:numFmt numFmtId="203" formatCode="0.0%"/>
  </x:numFmts>
  <x:fonts count="3">
    <x:font>
      <x:sz val="11"/>
      <x:name val="Carlito"/>
    </x:font>
    <x:font>
      <x:b/>
      <x:sz val="11"/>
      <x:color rgb="FFFFFFFF"/>
      <x:name val="Carlito"/>
    </x:font>
    <x:font>
      <x:sz val="11"/>
      <x:color rgb="FF6B4E00"/>
      <x:name val="Carlito"/>
    </x:font>
  </x:fonts>
  <x:fills count="4">
    <x:fill>
      <x:patternFill patternType="none"/>
    </x:fill>
    <x:fill>
      <x:patternFill patternType="gray125"/>
    </x:fill>
    <x:fill>
      <x:patternFill patternType="solid">
        <x:fgColor rgb="FF007AFF"/>
      </x:patternFill>
    </x:fill>
    <x:fill>
      <x:patternFill patternType="solid">
        <x:fgColor rgb="FFFFF4CE"/>
      </x:patternFill>
    </x:fill>
  </x:fills>
  <x:borders count="7">
    <x:border/>
    <x:border>
      <x:left style="thin">
        <x:color rgb="FFF1C75B"/>
      </x:left>
      <x:top style="thin">
        <x:color rgb="FFF1C75B"/>
      </x:top>
    </x:border>
    <x:border>
      <x:top style="thin">
        <x:color rgb="FFF1C75B"/>
      </x:top>
    </x:border>
    <x:border>
      <x:right style="thin">
        <x:color rgb="FFF1C75B"/>
      </x:right>
      <x:top style="thin">
        <x:color rgb="FFF1C75B"/>
      </x:top>
    </x:border>
    <x:border>
      <x:left style="thin">
        <x:color rgb="FFF1C75B"/>
      </x:left>
      <x:bottom style="thin">
        <x:color rgb="FFF1C75B"/>
      </x:bottom>
    </x:border>
    <x:border>
      <x:bottom style="thin">
        <x:color rgb="FFF1C75B"/>
      </x:bottom>
    </x:border>
    <x:border>
      <x:right style="thin">
        <x:color rgb="FFF1C75B"/>
      </x:right>
      <x:bottom style="thin">
        <x:color rgb="FFF1C75B"/>
      </x:bottom>
    </x:border>
  </x:borders>
  <x:cellStyleXfs count="1">
    <x:xf numFmtId="0" fontId="0" fillId="0" borderId="0"/>
  </x:cellStyleXfs>
  <x:cellXfs count="37">
    <x:xf numFmtId="0" fontId="0"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202"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cellXfs>
  <x:cellStyles count="1">
    <x:cellStyle name="Normal" xfId="0"/>
  </x:cellStyles>
  <x:dxfs count="4">
    <x:dxf>
      <x:font>
        <x:color rgb="FF166534"/>
      </x:font>
      <x:fill>
        <x:patternFill patternType="solid">
          <x:bgColor rgb="FFE3F5E8"/>
        </x:patternFill>
      </x:fill>
    </x:dxf>
    <x:dxf>
      <x:font>
        <x:color rgb="FF166534"/>
      </x:font>
      <x:fill>
        <x:patternFill patternType="solid">
          <x:bgColor rgb="FFE3F5E8"/>
        </x:patternFill>
      </x:fill>
    </x:dxf>
    <x:dxf>
      <x:font>
        <x:b/>
        <x:color rgb="FF166534"/>
      </x:font>
      <x:fill>
        <x:patternFill patternType="solid">
          <x:bgColor rgb="FFE3F5E8"/>
        </x:patternFill>
      </x:fill>
    </x:dxf>
    <x:dxf>
      <x:font>
        <x:color rgb="FF6B4E00"/>
      </x:font>
      <x:fill>
        <x:patternFill patternType="solid">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9f17faa8db4d69" /><Relationship Type="http://schemas.openxmlformats.org/officeDocument/2006/relationships/theme" Target="/xl/theme/theme1.xml" Id="R10dce437002747b1" /><Relationship Type="http://schemas.openxmlformats.org/officeDocument/2006/relationships/sharedStrings" Target="/xl/sharedStrings.xml" Id="R59d70cc42c0b4c5b" /><Relationship Type="http://schemas.openxmlformats.org/officeDocument/2006/relationships/worksheet" Target="/xl/worksheets/sheet1.xml" Id="R774a744d470549b5" /><Relationship Type="http://schemas.openxmlformats.org/officeDocument/2006/relationships/worksheet" Target="/xl/worksheets/sheet2.xml" Id="Rbb44d1dd6693470e" /><Relationship Type="http://schemas.openxmlformats.org/officeDocument/2006/relationships/worksheet" Target="/xl/worksheets/sheet3.xml" Id="R56055f288d6c4652" /><Relationship Type="http://schemas.openxmlformats.org/officeDocument/2006/relationships/worksheet" Target="/xl/worksheets/sheet4.xml" Id="R29527a1ab12c4d62" /></Relationships>
</file>

<file path=xl/tables/table1.xml><?xml version="1.0" encoding="utf-8"?>
<x:table xmlns:x="http://schemas.openxmlformats.org/spreadsheetml/2006/main" id="1" name="ScenariosTable" displayName="ScenariosTable" ref="A1:K6" headerRowCount="1" totalsRowCount="0" totalsRowShown="0">
  <x:autoFilter ref="A1:K6"/>
  <x:tableColumns count="11">
    <x:tableColumn id="1" name="scenario_id"/>
    <x:tableColumn id="2" name="journey"/>
    <x:tableColumn id="3" name="goal"/>
    <x:tableColumn id="4" name="start_state"/>
    <x:tableColumn id="5" name="task_prompt"/>
    <x:tableColumn id="6" name="success_criteria"/>
    <x:tableColumn id="7" name="critical_failure"/>
    <x:tableColumn id="8" name="primary_metrics"/>
    <x:tableColumn id="9" name="desktop"/>
    <x:tableColumn id="10" name="narrow"/>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BaselineResultsTable" displayName="BaselineResultsTable" ref="A1:V11" headerRowCount="1" totalsRowCount="0" totalsRowShown="0">
  <x:autoFilter ref="A1:V11"/>
  <x:tableColumns count="22">
    <x:tableColumn id="1" name="run_id"/>
    <x:tableColumn id="2" name="record_type"/>
    <x:tableColumn id="3" name="scenario_id"/>
    <x:tableColumn id="4" name="variant"/>
    <x:tableColumn id="5" name="environment"/>
    <x:tableColumn id="6" name="viewport"/>
    <x:tableColumn id="7" name="test_date"/>
    <x:tableColumn id="8" name="operator"/>
    <x:tableColumn id="9" name="method"/>
    <x:tableColumn id="10" name="status"/>
    <x:tableColumn id="11" name="elapsed_seconds"/>
    <x:tableColumn id="12" name="click_count"/>
    <x:tableColumn id="13" name="scroll_count"/>
    <x:tableColumn id="14" name="key_count"/>
    <x:tableColumn id="15" name="error_count"/>
    <x:tableColumn id="16" name="recovery_count"/>
    <x:tableColumn id="17" name="start_state"/>
    <x:tableColumn id="18" name="end_state"/>
    <x:tableColumn id="19" name="observation"/>
    <x:tableColumn id="20" name="evidence"/>
    <x:tableColumn id="21" name="human_participant_id"/>
    <x:tableColumn id="22" name="limitations"/>
  </x:tableColumns>
  <x:tableStyleInfo name="TableStyleMedium2" showFirstColumn="0" showLastColumn="0" showRowStripes="1" showColumnStripes="0"/>
</x:table>
</file>

<file path=xl/tables/table3.xml><?xml version="1.0" encoding="utf-8"?>
<x:table xmlns:x="http://schemas.openxmlformats.org/spreadsheetml/2006/main" id="3" name="PrototypeResultsTable" displayName="PrototypeResultsTable" ref="A1:V31" headerRowCount="1" totalsRowCount="0" totalsRowShown="0">
  <x:autoFilter ref="A1:V31"/>
  <x:tableColumns count="22">
    <x:tableColumn id="1" name="run_id"/>
    <x:tableColumn id="2" name="record_type"/>
    <x:tableColumn id="3" name="scenario_id"/>
    <x:tableColumn id="4" name="variant"/>
    <x:tableColumn id="5" name="environment"/>
    <x:tableColumn id="6" name="viewport"/>
    <x:tableColumn id="7" name="test_date"/>
    <x:tableColumn id="8" name="operator"/>
    <x:tableColumn id="9" name="method"/>
    <x:tableColumn id="10" name="status"/>
    <x:tableColumn id="11" name="elapsed_seconds"/>
    <x:tableColumn id="12" name="click_count"/>
    <x:tableColumn id="13" name="scroll_count"/>
    <x:tableColumn id="14" name="key_count"/>
    <x:tableColumn id="15" name="error_count"/>
    <x:tableColumn id="16" name="recovery_count"/>
    <x:tableColumn id="17" name="start_state"/>
    <x:tableColumn id="18" name="end_state"/>
    <x:tableColumn id="19" name="observation"/>
    <x:tableColumn id="20" name="evidence"/>
    <x:tableColumn id="21" name="human_participant_id"/>
    <x:tableColumn id="22" name="limitations"/>
  </x:tableColumns>
  <x:tableStyleInfo name="TableStyleMedium2" showFirstColumn="0" showLastColumn="0" showRowStripes="1" showColumnStripes="0"/>
</x:table>
</file>

<file path=xl/tables/table4.xml><?xml version="1.0" encoding="utf-8"?>
<x:table xmlns:x="http://schemas.openxmlformats.org/spreadsheetml/2006/main" id="4" name="BaselineOverviewTable" displayName="BaselineOverviewTable" ref="A3:C9" headerRowCount="1" totalsRowCount="0" totalsRowShown="0">
  <x:tableColumns count="3">
    <x:tableColumn id="1" name="指標"/>
    <x:tableColumn id="2" name="値"/>
    <x:tableColumn id="3" name="説明"/>
  </x:tableColumns>
  <x:tableStyleInfo name="TableStyleLight9" showFirstColumn="0" showLastColumn="0" showRowStripes="0" showColumnStripes="0"/>
</x:table>
</file>

<file path=xl/tables/table5.xml><?xml version="1.0" encoding="utf-8"?>
<x:table xmlns:x="http://schemas.openxmlformats.org/spreadsheetml/2006/main" id="5" name="PrototypeOverviewTable" displayName="PrototypeOverviewTable" ref="A11:F17" headerRowCount="1" totalsRowCount="0" totalsRowShown="0">
  <x:tableColumns count="6">
    <x:tableColumn id="1" name="案"/>
    <x:tableColumn id="2" name="環境"/>
    <x:tableColumn id="3" name="完了"/>
    <x:tableColumn id="4" name="クリック"/>
    <x:tableColumn id="5" name="スクロール"/>
    <x:tableColumn id="6" name="自動操作秒"/>
  </x:tableColumns>
  <x:tableStyleInfo name="TableStyleLight9" showFirstColumn="0" showLastColumn="0" showRowStripes="1" showColumnStripes="0"/>
</x:table>
</file>

<file path=xl/tables/table6.xml><?xml version="1.0" encoding="utf-8"?>
<x:table xmlns:x="http://schemas.openxmlformats.org/spreadsheetml/2006/main" id="6" name="AnalysisScrollGateTable" displayName="AnalysisScrollGateTable" ref="A21:D25" headerRowCount="1" totalsRowCount="0" totalsRowShown="0">
  <x:tableColumns count="4">
    <x:tableColumn id="1" name="案"/>
    <x:tableColumn id="2" name="スクロール"/>
    <x:tableColumn id="3" name="BASE比削減"/>
    <x:tableColumn id="4" name="50%目標"/>
  </x:tableColumns>
  <x:tableStyleInfo name="TableStyleLight9"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e6080bd3344431" /></Relationships>
</file>

<file path=xl/worksheets/_rels/sheet2.xml.rels>&#65279;<?xml version="1.0" encoding="utf-8"?><Relationships xmlns="http://schemas.openxmlformats.org/package/2006/relationships"><Relationship Type="http://schemas.openxmlformats.org/officeDocument/2006/relationships/table" Target="/xl/tables/table2.xml" Id="Rd71547be1fd44f17" /></Relationships>
</file>

<file path=xl/worksheets/_rels/sheet3.xml.rels>&#65279;<?xml version="1.0" encoding="utf-8"?><Relationships xmlns="http://schemas.openxmlformats.org/package/2006/relationships"><Relationship Type="http://schemas.openxmlformats.org/officeDocument/2006/relationships/table" Target="/xl/tables/table3.xml" Id="R4726e2d48a0a4869" /></Relationships>
</file>

<file path=xl/worksheets/_rels/sheet4.xml.rels>&#65279;<?xml version="1.0" encoding="utf-8"?><Relationships xmlns="http://schemas.openxmlformats.org/package/2006/relationships"><Relationship Type="http://schemas.openxmlformats.org/officeDocument/2006/relationships/table" Target="/xl/tables/table4.xml" Id="R379992af9f3342e6" /><Relationship Type="http://schemas.openxmlformats.org/officeDocument/2006/relationships/table" Target="/xl/tables/table5.xml" Id="R0009761815664fff" /><Relationship Type="http://schemas.openxmlformats.org/officeDocument/2006/relationships/table" Target="/xl/tables/table6.xml" Id="R3b3e20b484a54367"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26" hidden="0" customWidth="1"/>
    <x:col min="4" max="4" width="30" hidden="0" customWidth="1"/>
    <x:col min="5" max="5" width="42" hidden="0" customWidth="1"/>
    <x:col min="6" max="6" width="38" hidden="0" customWidth="1"/>
    <x:col min="7" max="7" width="38" hidden="0" customWidth="1"/>
    <x:col min="8" max="8" width="32" hidden="0" customWidth="1"/>
    <x:col min="9" max="9" width="12" hidden="0" customWidth="1"/>
    <x:col min="10" max="10" width="12" hidden="0" customWidth="1"/>
    <x:col min="11" max="11" width="34" hidden="0" customWidth="1"/>
  </x:cols>
  <x:sheetData>
    <x:row r="1" ht="30" customHeight="1">
      <x:c r="A1" s="3" t="str">
        <x:v>scenario_id</x:v>
      </x:c>
      <x:c r="B1" s="3" t="str">
        <x:v>journey</x:v>
      </x:c>
      <x:c r="C1" s="3" t="str">
        <x:v>goal</x:v>
      </x:c>
      <x:c r="D1" s="3" t="str">
        <x:v>start_state</x:v>
      </x:c>
      <x:c r="E1" s="3" t="str">
        <x:v>task_prompt</x:v>
      </x:c>
      <x:c r="F1" s="3" t="str">
        <x:v>success_criteria</x:v>
      </x:c>
      <x:c r="G1" s="3" t="str">
        <x:v>critical_failure</x:v>
      </x:c>
      <x:c r="H1" s="3" t="str">
        <x:v>primary_metrics</x:v>
      </x:c>
      <x:c r="I1" s="3" t="str">
        <x:v>desktop</x:v>
      </x:c>
      <x:c r="J1" s="3" t="str">
        <x:v>narrow</x:v>
      </x:c>
      <x:c r="K1" s="3" t="str">
        <x:v>notes</x:v>
      </x:c>
    </x:row>
    <x:row r="2" ht="42" customHeight="1">
      <x:c r="A2" s="3" t="str">
        <x:v>UX-01</x:v>
      </x:c>
      <x:c r="B2" s="3" t="str">
        <x:v>対局開始</x:v>
      </x:c>
      <x:c r="C2" s="3" t="str">
        <x:v>対局条件を設定して開始する</x:v>
      </x:c>
      <x:c r="D2" s="3" t="str">
        <x:v>初期局面・先手あなた・後手AI初級</x:v>
      </x:c>
      <x:c r="E2" s="3" t="str">
        <x:v>あなたが先手でAI初級との新しい対局を始めてください</x:v>
      </x:c>
      <x:c r="F2" s="3" t="str">
        <x:v>0手目の先手番で対局操作が可能になる</x:v>
      </x:c>
      <x:c r="G2" s="3" t="str">
        <x:v>意図しない設定または棋譜消失に気付かず開始する</x:v>
      </x:c>
      <x:c r="H2" s="3" t="str">
        <x:v>elapsed_seconds|click_count|scroll_count|error_count</x:v>
      </x:c>
      <x:c r="I2" s="3" t="str">
        <x:v>Yes</x:v>
      </x:c>
      <x:c r="J2" s="3" t="str">
        <x:v>Yes</x:v>
      </x:c>
      <x:c r="K2" s="3" t="str">
        <x:v>新規対局確認が出ない初期状態を使用</x:v>
      </x:c>
    </x:row>
    <x:row r="3" ht="42" customHeight="1">
      <x:c r="A3" s="3" t="str">
        <x:v>UX-02</x:v>
      </x:c>
      <x:c r="B3" s="3" t="str">
        <x:v>着手と棋譜確認</x:v>
      </x:c>
      <x:c r="C3" s="3" t="str">
        <x:v>一手指してAI応手と棋譜を確認する</x:v>
      </x:c>
      <x:c r="D3" s="3" t="str">
        <x:v>UX-01完了直後</x:v>
      </x:c>
      <x:c r="E3" s="3" t="str">
        <x:v>７七の歩を７六へ動かしAIの応手後に棋譜を確認してください</x:v>
      </x:c>
      <x:c r="F3" s="3" t="str">
        <x:v>2手以上の棋譜と現在手数を確認できる</x:v>
      </x:c>
      <x:c r="G3" s="3" t="str">
        <x:v>非合法手・別の駒・AI応手前の誤認</x:v>
      </x:c>
      <x:c r="H3" s="3" t="str">
        <x:v>elapsed_seconds|click_count|scroll_count|error_count</x:v>
      </x:c>
      <x:c r="I3" s="3" t="str">
        <x:v>Yes</x:v>
      </x:c>
      <x:c r="J3" s="3" t="str">
        <x:v>Yes</x:v>
      </x:c>
      <x:c r="K3" s="3" t="str">
        <x:v>AI応手は毎回異なる可能性あり</x:v>
      </x:c>
    </x:row>
    <x:row r="4" ht="42" customHeight="1">
      <x:c r="A4" s="3" t="str">
        <x:v>UX-03</x:v>
      </x:c>
      <x:c r="B4" s="3" t="str">
        <x:v>対局から解析</x:v>
      </x:c>
      <x:c r="C4" s="3" t="str">
        <x:v>現在の棋譜を解析して最善手を確認する</x:v>
      </x:c>
      <x:c r="D4" s="3" t="str">
        <x:v>2手以上の棋譜あり・最終局面</x:v>
      </x:c>
      <x:c r="E4" s="3" t="str">
        <x:v>この対局をAIで解析し現在局面の最善手を確認してください</x:v>
      </x:c>
      <x:c r="F4" s="3" t="str">
        <x:v>解析完了後に現在局面の最善手または合法手なしを確認できる</x:v>
      </x:c>
      <x:c r="G4" s="3" t="str">
        <x:v>解析開始を発見できない・別局面の結果を現在局面と誤認する</x:v>
      </x:c>
      <x:c r="H4" s="3" t="str">
        <x:v>elapsed_seconds|click_count|scroll_count|error_count</x:v>
      </x:c>
      <x:c r="I4" s="3" t="str">
        <x:v>Yes</x:v>
      </x:c>
      <x:c r="J4" s="3" t="str">
        <x:v>Yes</x:v>
      </x:c>
      <x:c r="K4" s="3" t="str">
        <x:v>解析完了待ちを時間に含む</x:v>
      </x:c>
    </x:row>
    <x:row r="5" ht="42" customHeight="1">
      <x:c r="A5" s="3" t="str">
        <x:v>UX-04</x:v>
      </x:c>
      <x:c r="B5" s="3" t="str">
        <x:v>KIF解析</x:v>
      </x:c>
      <x:c r="C5" s="3" t="str">
        <x:v>外部棋譜を読み込み特定局面を調べる</x:v>
      </x:c>
      <x:c r="D5" s="3" t="str">
        <x:v>初期局面</x:v>
      </x:c>
      <x:c r="E5" s="3" t="str">
        <x:v>テストKIFを読み込み3手目へ移動して評価を確認してください</x:v>
      </x:c>
      <x:c r="F5" s="3" t="str">
        <x:v>5手KIFの3手目と対応する解析結果を確認できる</x:v>
      </x:c>
      <x:c r="G5" s="3" t="str">
        <x:v>KIF読込失敗・局面を誤認・元棋譜を意図せず失う</x:v>
      </x:c>
      <x:c r="H5" s="3" t="str">
        <x:v>elapsed_seconds|click_count|scroll_count|recovery_count</x:v>
      </x:c>
      <x:c r="I5" s="3" t="str">
        <x:v>Yes</x:v>
      </x:c>
      <x:c r="J5" s="3" t="str">
        <x:v>Yes</x:v>
      </x:c>
      <x:c r="K5" s="3" t="str">
        <x:v>既存QA仕様の正常系KIFを使用</x:v>
      </x:c>
    </x:row>
    <x:row r="6" ht="42" customHeight="1">
      <x:c r="A6" s="3" t="str">
        <x:v>UX-05</x:v>
      </x:c>
      <x:c r="B6" s="3" t="str">
        <x:v>保存と共有</x:v>
      </x:c>
      <x:c r="C6" s="3" t="str">
        <x:v>解析後の棋譜を持ち出す</x:v>
      </x:c>
      <x:c r="D6" s="3" t="str">
        <x:v>解析済みの5手KIF・3手目</x:v>
      </x:c>
      <x:c r="E6" s="3" t="str">
        <x:v>この棋譜を保存できる場所と共有できる操作を示しURL共有を実行してください</x:v>
      </x:c>
      <x:c r="F6" s="3" t="str">
        <x:v>保存操作とURL共有操作を発見し共有完了を確認できる</x:v>
      </x:c>
      <x:c r="G6" s="3" t="str">
        <x:v>誤って新規対局・投了・棋譜破棄を実行する</x:v>
      </x:c>
      <x:c r="H6" s="3" t="str">
        <x:v>elapsed_seconds|click_count|scroll_count|error_count</x:v>
      </x:c>
      <x:c r="I6" s="3" t="str">
        <x:v>Yes</x:v>
      </x:c>
      <x:c r="J6" s="3" t="str">
        <x:v>Yes</x:v>
      </x:c>
      <x:c r="K6" s="3" t="str">
        <x:v>ダウンロード実行は不要・URL共有のみ実行</x:v>
      </x:c>
    </x:row>
  </x:sheetData>
  <x:pageMargins left="0.7" right="0.7" top="0.75" bottom="0.75" header="0.3" footer="0.3"/>
  <x:tableParts count="1">
    <x:tablePart xmlns:r="http://schemas.openxmlformats.org/officeDocument/2006/relationships" r:id="Rc7e6080bd334443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12" hidden="0" customWidth="1"/>
    <x:col min="4" max="4" width="10" hidden="0" customWidth="1"/>
    <x:col min="5" max="5" width="18" hidden="0" customWidth="1"/>
    <x:col min="6" max="6" width="16" hidden="0" customWidth="1"/>
    <x:col min="7" max="7" width="14" hidden="0" customWidth="1"/>
    <x:col min="8" max="8" width="22" hidden="0" customWidth="1"/>
    <x:col min="9" max="9" width="34" hidden="0" customWidth="1"/>
    <x:col min="10" max="10" width="12" hidden="0" customWidth="1"/>
    <x:col min="11" max="11" width="16" hidden="0" customWidth="1"/>
    <x:col min="12" max="12" width="12" hidden="0" customWidth="1"/>
    <x:col min="13" max="13" width="12" hidden="0" customWidth="1"/>
    <x:col min="14" max="14" width="12" hidden="0" customWidth="1"/>
    <x:col min="15" max="15" width="12" hidden="0" customWidth="1"/>
    <x:col min="16" max="16" width="14" hidden="0" customWidth="1"/>
    <x:col min="17" max="17" width="28" hidden="0" customWidth="1"/>
    <x:col min="18" max="18" width="28" hidden="0" customWidth="1"/>
    <x:col min="19" max="19" width="48" hidden="0" customWidth="1"/>
    <x:col min="20" max="20" width="46" hidden="0" customWidth="1"/>
    <x:col min="21" max="21" width="18" hidden="0" customWidth="1"/>
    <x:col min="22" max="22" width="52" hidden="0" customWidth="1"/>
  </x:cols>
  <x:sheetData>
    <x:row r="1" ht="30" customHeight="1">
      <x:c r="A1" s="3" t="str">
        <x:v>run_id</x:v>
      </x:c>
      <x:c r="B1" s="3" t="str">
        <x:v>record_type</x:v>
      </x:c>
      <x:c r="C1" s="3" t="str">
        <x:v>scenario_id</x:v>
      </x:c>
      <x:c r="D1" s="3" t="str">
        <x:v>variant</x:v>
      </x:c>
      <x:c r="E1" s="3" t="str">
        <x:v>environment</x:v>
      </x:c>
      <x:c r="F1" s="3" t="str">
        <x:v>viewport</x:v>
      </x:c>
      <x:c r="G1" s="3" t="str">
        <x:v>test_date</x:v>
      </x:c>
      <x:c r="H1" s="3" t="str">
        <x:v>operator</x:v>
      </x:c>
      <x:c r="I1" s="3" t="str">
        <x:v>method</x:v>
      </x:c>
      <x:c r="J1" s="3" t="str">
        <x:v>status</x:v>
      </x:c>
      <x:c r="K1" s="3" t="str">
        <x:v>elapsed_seconds</x:v>
      </x:c>
      <x:c r="L1" s="3" t="str">
        <x:v>click_count</x:v>
      </x:c>
      <x:c r="M1" s="3" t="str">
        <x:v>scroll_count</x:v>
      </x:c>
      <x:c r="N1" s="3" t="str">
        <x:v>key_count</x:v>
      </x:c>
      <x:c r="O1" s="3" t="str">
        <x:v>error_count</x:v>
      </x:c>
      <x:c r="P1" s="3" t="str">
        <x:v>recovery_count</x:v>
      </x:c>
      <x:c r="Q1" s="3" t="str">
        <x:v>start_state</x:v>
      </x:c>
      <x:c r="R1" s="3" t="str">
        <x:v>end_state</x:v>
      </x:c>
      <x:c r="S1" s="3" t="str">
        <x:v>observation</x:v>
      </x:c>
      <x:c r="T1" s="3" t="str">
        <x:v>evidence</x:v>
      </x:c>
      <x:c r="U1" s="3" t="str">
        <x:v>human_participant_id</x:v>
      </x:c>
      <x:c r="V1" s="3" t="str">
        <x:v>limitations</x:v>
      </x:c>
    </x:row>
    <x:row r="2" ht="42" customHeight="1">
      <x:c r="A2" s="3" t="str">
        <x:v>BASELINE-001</x:v>
      </x:c>
      <x:c r="B2" s="3" t="str">
        <x:v>Computer Use benchmark</x:v>
      </x:c>
      <x:c r="C2" s="3" t="str">
        <x:v>UX-01</x:v>
      </x:c>
      <x:c r="D2" s="3" t="str">
        <x:v>BASE</x:v>
      </x:c>
      <x:c r="E2" s="3" t="str">
        <x:v>ENV-01 Desktop</x:v>
      </x:c>
      <x:c r="F2" s="3" t="str">
        <x:v>Desktop Chrome</x:v>
      </x:c>
      <x:c r="G2" s="4" t="str">
        <x:v>2026-07-21</x:v>
      </x:c>
      <x:c r="H2" s="3" t="str">
        <x:v>Codex Computer Use</x:v>
      </x:c>
      <x:c r="I2" s="3" t="str">
        <x:v>Single-call scripted visual benchmark</x:v>
      </x:c>
      <x:c r="J2" s="3" t="str">
        <x:v>Pass</x:v>
      </x:c>
      <x:c r="K2" s="5" t="n">
        <x:v>0.465</x:v>
      </x:c>
      <x:c r="L2" s="6" t="n">
        <x:v>1</x:v>
      </x:c>
      <x:c r="M2" s="6" t="n">
        <x:v>0</x:v>
      </x:c>
      <x:c r="N2" s="6" t="n">
        <x:v>0</x:v>
      </x:c>
      <x:c r="O2" s="6" t="n">
        <x:v>0</x:v>
      </x:c>
      <x:c r="P2" s="6" t="n">
        <x:v>0</x:v>
      </x:c>
      <x:c r="Q2" s="3" t="str">
        <x:v>初期局面</x:v>
      </x:c>
      <x:c r="R2" s="3" t="str">
        <x:v>0手目の先手番</x:v>
      </x:c>
      <x:c r="S2" s="3" t="str">
        <x:v>盤と対局カードが同じ表示範囲にあり新規対局へスクロールなしで到達</x:v>
      </x:c>
      <x:c r="T2" s="3" t="str">
        <x:v>docs/ux/mode-separation/evidence/BASELINE-001/desktop-current-game.jpeg</x:v>
      </x:c>
      <x:c r="U2" s="3"/>
      <x:c r="V2" s="3" t="str">
        <x:v>操作者はラベルと正解経路を既知・経過時間はComputer Use待機を含む・人間の発見性は未評価</x:v>
      </x:c>
    </x:row>
    <x:row r="3" ht="42" customHeight="1">
      <x:c r="A3" s="3" t="str">
        <x:v>BASELINE-001</x:v>
      </x:c>
      <x:c r="B3" s="3" t="str">
        <x:v>Computer Use benchmark</x:v>
      </x:c>
      <x:c r="C3" s="3" t="str">
        <x:v>UX-02</x:v>
      </x:c>
      <x:c r="D3" s="3" t="str">
        <x:v>BASE</x:v>
      </x:c>
      <x:c r="E3" s="3" t="str">
        <x:v>ENV-01 Desktop</x:v>
      </x:c>
      <x:c r="F3" s="3" t="str">
        <x:v>Desktop Chrome</x:v>
      </x:c>
      <x:c r="G3" s="4" t="str">
        <x:v>2026-07-21</x:v>
      </x:c>
      <x:c r="H3" s="3" t="str">
        <x:v>Codex Computer Use</x:v>
      </x:c>
      <x:c r="I3" s="3" t="str">
        <x:v>Single-call scripted visual benchmark</x:v>
      </x:c>
      <x:c r="J3" s="3" t="str">
        <x:v>Pass</x:v>
      </x:c>
      <x:c r="K3" s="5" t="n">
        <x:v>1.201</x:v>
      </x:c>
      <x:c r="L3" s="6" t="n">
        <x:v>2</x:v>
      </x:c>
      <x:c r="M3" s="6" t="n">
        <x:v>0</x:v>
      </x:c>
      <x:c r="N3" s="6" t="n">
        <x:v>0</x:v>
      </x:c>
      <x:c r="O3" s="6" t="n">
        <x:v>0</x:v>
      </x:c>
      <x:c r="P3" s="6" t="n">
        <x:v>0</x:v>
      </x:c>
      <x:c r="Q3" s="3" t="str">
        <x:v>0手目の先手番</x:v>
      </x:c>
      <x:c r="R3" s="3" t="str">
        <x:v>AI応手後の2手目と棋譜</x:v>
      </x:c>
      <x:c r="S3" s="3" t="str">
        <x:v>盤と棋譜を横並びで確認でき上下移動は不要</x:v>
      </x:c>
      <x:c r="T3" s="3" t="str">
        <x:v>docs/ux/mode-separation/evidence/BASELINE-001/desktop-current-game.jpeg</x:v>
      </x:c>
      <x:c r="U3" s="3"/>
      <x:c r="V3" s="3" t="str">
        <x:v>操作者はラベルと正解経路を既知・経過時間はComputer Use待機を含む・人間の発見性は未評価</x:v>
      </x:c>
    </x:row>
    <x:row r="4" ht="42" customHeight="1">
      <x:c r="A4" s="3" t="str">
        <x:v>BASELINE-001</x:v>
      </x:c>
      <x:c r="B4" s="3" t="str">
        <x:v>Computer Use benchmark</x:v>
      </x:c>
      <x:c r="C4" s="3" t="str">
        <x:v>UX-03</x:v>
      </x:c>
      <x:c r="D4" s="3" t="str">
        <x:v>BASE</x:v>
      </x:c>
      <x:c r="E4" s="3" t="str">
        <x:v>ENV-01 Desktop</x:v>
      </x:c>
      <x:c r="F4" s="3" t="str">
        <x:v>Desktop Chrome</x:v>
      </x:c>
      <x:c r="G4" s="4" t="str">
        <x:v>2026-07-21</x:v>
      </x:c>
      <x:c r="H4" s="3" t="str">
        <x:v>Codex Computer Use</x:v>
      </x:c>
      <x:c r="I4" s="3" t="str">
        <x:v>Single-call scripted visual benchmark</x:v>
      </x:c>
      <x:c r="J4" s="3" t="str">
        <x:v>Pass</x:v>
      </x:c>
      <x:c r="K4" s="5" t="n">
        <x:v>1.719</x:v>
      </x:c>
      <x:c r="L4" s="6" t="n">
        <x:v>1</x:v>
      </x:c>
      <x:c r="M4" s="6" t="n">
        <x:v>1</x:v>
      </x:c>
      <x:c r="N4" s="6" t="n">
        <x:v>0</x:v>
      </x:c>
      <x:c r="O4" s="6" t="n">
        <x:v>0</x:v>
      </x:c>
      <x:c r="P4" s="6" t="n">
        <x:v>0</x:v>
      </x:c>
      <x:c r="Q4" s="3" t="str">
        <x:v>2手目の最終局面</x:v>
      </x:c>
      <x:c r="R4" s="3" t="str">
        <x:v>現在局面の最善手と評価グラフ</x:v>
      </x:c>
      <x:c r="S4" s="3" t="str">
        <x:v>解析ボタンは最初の表示範囲下端にあるが結果が下へ展開するため視覚確認に1回スクロール</x:v>
      </x:c>
      <x:c r="T4" s="3" t="str">
        <x:v>docs/ux/mode-separation/evidence/BASELINE-001/desktop-analysis-result.jpeg</x:v>
      </x:c>
      <x:c r="U4" s="3"/>
      <x:c r="V4" s="3" t="str">
        <x:v>操作者はラベルと正解経路を既知・経過時間はComputer Use待機を含む・人間の発見性は未評価</x:v>
      </x:c>
    </x:row>
    <x:row r="5" ht="42" customHeight="1">
      <x:c r="A5" s="3" t="str">
        <x:v>BASELINE-001</x:v>
      </x:c>
      <x:c r="B5" s="3" t="str">
        <x:v>Computer Use benchmark</x:v>
      </x:c>
      <x:c r="C5" s="3" t="str">
        <x:v>UX-04</x:v>
      </x:c>
      <x:c r="D5" s="3" t="str">
        <x:v>BASE</x:v>
      </x:c>
      <x:c r="E5" s="3" t="str">
        <x:v>ENV-01 Desktop</x:v>
      </x:c>
      <x:c r="F5" s="3" t="str">
        <x:v>Desktop Chrome</x:v>
      </x:c>
      <x:c r="G5" s="4" t="str">
        <x:v>2026-07-21</x:v>
      </x:c>
      <x:c r="H5" s="3" t="str">
        <x:v>Codex Computer Use</x:v>
      </x:c>
      <x:c r="I5" s="3" t="str">
        <x:v>Single-call scripted visual benchmark</x:v>
      </x:c>
      <x:c r="J5" s="3" t="str">
        <x:v>Pass</x:v>
      </x:c>
      <x:c r="K5" s="5" t="n">
        <x:v>4.567</x:v>
      </x:c>
      <x:c r="L5" s="6" t="n">
        <x:v>4</x:v>
      </x:c>
      <x:c r="M5" s="6" t="n">
        <x:v>1</x:v>
      </x:c>
      <x:c r="N5" s="6" t="n">
        <x:v>1</x:v>
      </x:c>
      <x:c r="O5" s="6" t="n">
        <x:v>0</x:v>
      </x:c>
      <x:c r="P5" s="6" t="n">
        <x:v>0</x:v>
      </x:c>
      <x:c r="Q5" s="3" t="str">
        <x:v>初期局面</x:v>
      </x:c>
      <x:c r="R5" s="3" t="str">
        <x:v>5手KIFの3手目と解析結果</x:v>
      </x:c>
      <x:c r="S5" s="3" t="str">
        <x:v>KIF読込で棋譜一覧が伸び解析カードが下へ移動するため3手目から解析へ1回スクロール</x:v>
      </x:c>
      <x:c r="T5" s="3" t="str">
        <x:v>docs/ux/mode-separation/evidence/BASELINE-001/desktop-analysis-result.jpeg</x:v>
      </x:c>
      <x:c r="U5" s="3"/>
      <x:c r="V5" s="3" t="str">
        <x:v>操作者はラベルと正解経路を既知・経過時間はComputer Use待機を含む・人間の発見性は未評価</x:v>
      </x:c>
    </x:row>
    <x:row r="6" ht="42" customHeight="1">
      <x:c r="A6" s="3" t="str">
        <x:v>BASELINE-001</x:v>
      </x:c>
      <x:c r="B6" s="3" t="str">
        <x:v>Computer Use benchmark</x:v>
      </x:c>
      <x:c r="C6" s="3" t="str">
        <x:v>UX-05</x:v>
      </x:c>
      <x:c r="D6" s="3" t="str">
        <x:v>BASE</x:v>
      </x:c>
      <x:c r="E6" s="3" t="str">
        <x:v>ENV-01 Desktop</x:v>
      </x:c>
      <x:c r="F6" s="3" t="str">
        <x:v>Desktop Chrome</x:v>
      </x:c>
      <x:c r="G6" s="4" t="str">
        <x:v>2026-07-21</x:v>
      </x:c>
      <x:c r="H6" s="3" t="str">
        <x:v>Codex Computer Use</x:v>
      </x:c>
      <x:c r="I6" s="3" t="str">
        <x:v>Single-call scripted visual benchmark</x:v>
      </x:c>
      <x:c r="J6" s="3" t="str">
        <x:v>Pass</x:v>
      </x:c>
      <x:c r="K6" s="5" t="n">
        <x:v>1.406</x:v>
      </x:c>
      <x:c r="L6" s="6" t="n">
        <x:v>1</x:v>
      </x:c>
      <x:c r="M6" s="6" t="n">
        <x:v>1</x:v>
      </x:c>
      <x:c r="N6" s="6" t="n">
        <x:v>0</x:v>
      </x:c>
      <x:c r="O6" s="6" t="n">
        <x:v>0</x:v>
      </x:c>
      <x:c r="P6" s="6" t="n">
        <x:v>0</x:v>
      </x:c>
      <x:c r="Q6" s="3" t="str">
        <x:v>解析済み5手KIFの3手目</x:v>
      </x:c>
      <x:c r="R6" s="3" t="str">
        <x:v>URL共有完了</x:v>
      </x:c>
      <x:c r="S6" s="3" t="str">
        <x:v>解析結果から上にあるURL共有へ戻るため1回上方向スクロール</x:v>
      </x:c>
      <x:c r="T6" s="3" t="str">
        <x:v>docs/ux/mode-separation/evidence/BASELINE-001/desktop-analysis-result.jpeg</x:v>
      </x:c>
      <x:c r="U6" s="3"/>
      <x:c r="V6" s="3" t="str">
        <x:v>操作者はラベルと正解経路を既知・経過時間はComputer Use待機を含む・人間の発見性は未評価</x:v>
      </x:c>
    </x:row>
    <x:row r="7" ht="42" customHeight="1">
      <x:c r="A7" s="3" t="str">
        <x:v>BASELINE-001</x:v>
      </x:c>
      <x:c r="B7" s="3" t="str">
        <x:v>Computer Use benchmark</x:v>
      </x:c>
      <x:c r="C7" s="3" t="str">
        <x:v>UX-01</x:v>
      </x:c>
      <x:c r="D7" s="3" t="str">
        <x:v>BASE</x:v>
      </x:c>
      <x:c r="E7" s="3" t="str">
        <x:v>ENV-02 Narrow</x:v>
      </x:c>
      <x:c r="F7" s="3" t="str">
        <x:v>400x625</x:v>
      </x:c>
      <x:c r="G7" s="4" t="str">
        <x:v>2026-07-21</x:v>
      </x:c>
      <x:c r="H7" s="3" t="str">
        <x:v>Codex Computer Use</x:v>
      </x:c>
      <x:c r="I7" s="3" t="str">
        <x:v>Single-call scripted visual benchmark</x:v>
      </x:c>
      <x:c r="J7" s="3" t="str">
        <x:v>Pass</x:v>
      </x:c>
      <x:c r="K7" s="5" t="n">
        <x:v>2.649</x:v>
      </x:c>
      <x:c r="L7" s="6" t="n">
        <x:v>1</x:v>
      </x:c>
      <x:c r="M7" s="6" t="n">
        <x:v>1</x:v>
      </x:c>
      <x:c r="N7" s="6" t="n">
        <x:v>0</x:v>
      </x:c>
      <x:c r="O7" s="6" t="n">
        <x:v>0</x:v>
      </x:c>
      <x:c r="P7" s="6" t="n">
        <x:v>0</x:v>
      </x:c>
      <x:c r="Q7" s="3" t="str">
        <x:v>初期局面</x:v>
      </x:c>
      <x:c r="R7" s="3" t="str">
        <x:v>0手目の先手番</x:v>
      </x:c>
      <x:c r="S7" s="3" t="str">
        <x:v>初期表示は盤が中心で新規対局ボタンへ到達するには1回下方向スクロール</x:v>
      </x:c>
      <x:c r="T7" s="3" t="str">
        <x:v>docs/ux/mode-separation/evidence/BASELINE-001/mobile-initial.jpeg</x:v>
      </x:c>
      <x:c r="U7" s="3"/>
      <x:c r="V7" s="3" t="str">
        <x:v>操作者はラベルと正解経路を既知・経過時間はComputer Use待機を含む・人間の発見性は未評価</x:v>
      </x:c>
    </x:row>
    <x:row r="8" ht="42" customHeight="1">
      <x:c r="A8" s="3" t="str">
        <x:v>BASELINE-001</x:v>
      </x:c>
      <x:c r="B8" s="3" t="str">
        <x:v>Computer Use benchmark</x:v>
      </x:c>
      <x:c r="C8" s="3" t="str">
        <x:v>UX-02</x:v>
      </x:c>
      <x:c r="D8" s="3" t="str">
        <x:v>BASE</x:v>
      </x:c>
      <x:c r="E8" s="3" t="str">
        <x:v>ENV-02 Narrow</x:v>
      </x:c>
      <x:c r="F8" s="3" t="str">
        <x:v>400x625</x:v>
      </x:c>
      <x:c r="G8" s="4" t="str">
        <x:v>2026-07-21</x:v>
      </x:c>
      <x:c r="H8" s="3" t="str">
        <x:v>Codex Computer Use</x:v>
      </x:c>
      <x:c r="I8" s="3" t="str">
        <x:v>Single-call scripted visual benchmark</x:v>
      </x:c>
      <x:c r="J8" s="3" t="str">
        <x:v>Pass</x:v>
      </x:c>
      <x:c r="K8" s="5" t="n">
        <x:v>4.264</x:v>
      </x:c>
      <x:c r="L8" s="6" t="n">
        <x:v>2</x:v>
      </x:c>
      <x:c r="M8" s="6" t="n">
        <x:v>2</x:v>
      </x:c>
      <x:c r="N8" s="6" t="n">
        <x:v>0</x:v>
      </x:c>
      <x:c r="O8" s="6" t="n">
        <x:v>0</x:v>
      </x:c>
      <x:c r="P8" s="6" t="n">
        <x:v>0</x:v>
      </x:c>
      <x:c r="Q8" s="3" t="str">
        <x:v>0手目の対局カード</x:v>
      </x:c>
      <x:c r="R8" s="3" t="str">
        <x:v>AI応手後の2手目と棋譜</x:v>
      </x:c>
      <x:c r="S8" s="3" t="str">
        <x:v>対局カードから盤へ戻り着手後に棋譜へ進むため上下2回のスクロール</x:v>
      </x:c>
      <x:c r="T8" s="3" t="str">
        <x:v>docs/ux/mode-separation/evidence/BASELINE-001/mobile-initial.jpeg</x:v>
      </x:c>
      <x:c r="U8" s="3"/>
      <x:c r="V8" s="3" t="str">
        <x:v>操作者はラベルと正解経路を既知・経過時間はComputer Use待機を含む・人間の発見性は未評価</x:v>
      </x:c>
    </x:row>
    <x:row r="9" ht="42" customHeight="1">
      <x:c r="A9" s="3" t="str">
        <x:v>BASELINE-001</x:v>
      </x:c>
      <x:c r="B9" s="3" t="str">
        <x:v>Computer Use benchmark</x:v>
      </x:c>
      <x:c r="C9" s="3" t="str">
        <x:v>UX-03</x:v>
      </x:c>
      <x:c r="D9" s="3" t="str">
        <x:v>BASE</x:v>
      </x:c>
      <x:c r="E9" s="3" t="str">
        <x:v>ENV-02 Narrow</x:v>
      </x:c>
      <x:c r="F9" s="3" t="str">
        <x:v>400x625</x:v>
      </x:c>
      <x:c r="G9" s="4" t="str">
        <x:v>2026-07-21</x:v>
      </x:c>
      <x:c r="H9" s="3" t="str">
        <x:v>Codex Computer Use</x:v>
      </x:c>
      <x:c r="I9" s="3" t="str">
        <x:v>Single-call scripted visual benchmark</x:v>
      </x:c>
      <x:c r="J9" s="3" t="str">
        <x:v>Pass</x:v>
      </x:c>
      <x:c r="K9" s="5" t="n">
        <x:v>3.16</x:v>
      </x:c>
      <x:c r="L9" s="6" t="n">
        <x:v>1</x:v>
      </x:c>
      <x:c r="M9" s="6" t="n">
        <x:v>1</x:v>
      </x:c>
      <x:c r="N9" s="6" t="n">
        <x:v>0</x:v>
      </x:c>
      <x:c r="O9" s="6" t="n">
        <x:v>0</x:v>
      </x:c>
      <x:c r="P9" s="6" t="n">
        <x:v>0</x:v>
      </x:c>
      <x:c r="Q9" s="3" t="str">
        <x:v>2手目の棋譜カード</x:v>
      </x:c>
      <x:c r="R9" s="3" t="str">
        <x:v>現在局面の最善手と評価グラフ</x:v>
      </x:c>
      <x:c r="S9" s="3" t="str">
        <x:v>解析ボタンは棋譜カード付近にあるが展開結果を見るためさらに1回下方向スクロール</x:v>
      </x:c>
      <x:c r="T9" s="3" t="str">
        <x:v>docs/ux/mode-separation/evidence/BASELINE-001/mobile-analysis-result.jpeg</x:v>
      </x:c>
      <x:c r="U9" s="3"/>
      <x:c r="V9" s="3" t="str">
        <x:v>操作者はラベルと正解経路を既知・経過時間はComputer Use待機を含む・人間の発見性は未評価</x:v>
      </x:c>
    </x:row>
    <x:row r="10" ht="42" customHeight="1">
      <x:c r="A10" s="3" t="str">
        <x:v>BASELINE-001</x:v>
      </x:c>
      <x:c r="B10" s="3" t="str">
        <x:v>Computer Use benchmark</x:v>
      </x:c>
      <x:c r="C10" s="3" t="str">
        <x:v>UX-04</x:v>
      </x:c>
      <x:c r="D10" s="3" t="str">
        <x:v>BASE</x:v>
      </x:c>
      <x:c r="E10" s="3" t="str">
        <x:v>ENV-02 Narrow</x:v>
      </x:c>
      <x:c r="F10" s="3" t="str">
        <x:v>400x625</x:v>
      </x:c>
      <x:c r="G10" s="4" t="str">
        <x:v>2026-07-21</x:v>
      </x:c>
      <x:c r="H10" s="3" t="str">
        <x:v>Codex Computer Use</x:v>
      </x:c>
      <x:c r="I10" s="3" t="str">
        <x:v>Single-call scripted visual benchmark</x:v>
      </x:c>
      <x:c r="J10" s="3" t="str">
        <x:v>Pass</x:v>
      </x:c>
      <x:c r="K10" s="5" t="n">
        <x:v>9.646</x:v>
      </x:c>
      <x:c r="L10" s="6" t="n">
        <x:v>4</x:v>
      </x:c>
      <x:c r="M10" s="6" t="n">
        <x:v>2</x:v>
      </x:c>
      <x:c r="N10" s="6" t="n">
        <x:v>1</x:v>
      </x:c>
      <x:c r="O10" s="6" t="n">
        <x:v>0</x:v>
      </x:c>
      <x:c r="P10" s="6" t="n">
        <x:v>0</x:v>
      </x:c>
      <x:c r="Q10" s="3" t="str">
        <x:v>初期局面</x:v>
      </x:c>
      <x:c r="R10" s="3" t="str">
        <x:v>5手KIFの3手目と解析結果</x:v>
      </x:c>
      <x:c r="S10" s="3" t="str">
        <x:v>KIF読込への移動と解析カードへの移動で合計2回スクロール</x:v>
      </x:c>
      <x:c r="T10" s="3" t="str">
        <x:v>docs/ux/mode-separation/evidence/BASELINE-001/mobile-analysis-result.jpeg</x:v>
      </x:c>
      <x:c r="U10" s="3"/>
      <x:c r="V10" s="3" t="str">
        <x:v>操作者はラベルと正解経路を既知・経過時間はComputer Use待機を含む・人間の発見性は未評価</x:v>
      </x:c>
    </x:row>
    <x:row r="11" ht="42" customHeight="1">
      <x:c r="A11" s="3" t="str">
        <x:v>BASELINE-001</x:v>
      </x:c>
      <x:c r="B11" s="3" t="str">
        <x:v>Computer Use benchmark</x:v>
      </x:c>
      <x:c r="C11" s="3" t="str">
        <x:v>UX-05</x:v>
      </x:c>
      <x:c r="D11" s="3" t="str">
        <x:v>BASE</x:v>
      </x:c>
      <x:c r="E11" s="3" t="str">
        <x:v>ENV-02 Narrow</x:v>
      </x:c>
      <x:c r="F11" s="3" t="str">
        <x:v>400x625</x:v>
      </x:c>
      <x:c r="G11" s="4" t="str">
        <x:v>2026-07-21</x:v>
      </x:c>
      <x:c r="H11" s="3" t="str">
        <x:v>Codex Computer Use</x:v>
      </x:c>
      <x:c r="I11" s="3" t="str">
        <x:v>Single-call scripted visual benchmark</x:v>
      </x:c>
      <x:c r="J11" s="3" t="str">
        <x:v>Pass</x:v>
      </x:c>
      <x:c r="K11" s="5" t="n">
        <x:v>2.217</x:v>
      </x:c>
      <x:c r="L11" s="6" t="n">
        <x:v>1</x:v>
      </x:c>
      <x:c r="M11" s="6" t="n">
        <x:v>1</x:v>
      </x:c>
      <x:c r="N11" s="6" t="n">
        <x:v>0</x:v>
      </x:c>
      <x:c r="O11" s="6" t="n">
        <x:v>0</x:v>
      </x:c>
      <x:c r="P11" s="6" t="n">
        <x:v>0</x:v>
      </x:c>
      <x:c r="Q11" s="3" t="str">
        <x:v>解析済み5手KIFの3手目</x:v>
      </x:c>
      <x:c r="R11" s="3" t="str">
        <x:v>URL共有完了</x:v>
      </x:c>
      <x:c r="S11" s="3" t="str">
        <x:v>解析結果の下側から棋譜カード内のURL共有へ1回上方向スクロール</x:v>
      </x:c>
      <x:c r="T11" s="3" t="str">
        <x:v>docs/ux/mode-separation/evidence/BASELINE-001/mobile-analysis-result.jpeg</x:v>
      </x:c>
      <x:c r="U11" s="3"/>
      <x:c r="V11" s="3" t="str">
        <x:v>操作者はラベルと正解経路を既知・経過時間はComputer Use待機を含む・人間の発見性は未評価</x:v>
      </x:c>
    </x:row>
  </x:sheetData>
  <x:conditionalFormatting sqref="J2:J11">
    <x:cfRule type="containsText" dxfId="0" priority="1" operator="containsText" text="Pass"/>
  </x:conditionalFormatting>
  <x:pageMargins left="0.7" right="0.7" top="0.75" bottom="0.75" header="0.3" footer="0.3"/>
  <x:tableParts count="1">
    <x:tablePart xmlns:r="http://schemas.openxmlformats.org/officeDocument/2006/relationships" r:id="Rd71547be1fd44f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12" hidden="0" customWidth="1"/>
    <x:col min="4" max="4" width="10" hidden="0" customWidth="1"/>
    <x:col min="5" max="5" width="18" hidden="0" customWidth="1"/>
    <x:col min="6" max="6" width="16" hidden="0" customWidth="1"/>
    <x:col min="7" max="7" width="14" hidden="0" customWidth="1"/>
    <x:col min="8" max="8" width="22" hidden="0" customWidth="1"/>
    <x:col min="9" max="9" width="34" hidden="0" customWidth="1"/>
    <x:col min="10" max="10" width="12" hidden="0" customWidth="1"/>
    <x:col min="11" max="11" width="16" hidden="0" customWidth="1"/>
    <x:col min="12" max="12" width="12" hidden="0" customWidth="1"/>
    <x:col min="13" max="13" width="12" hidden="0" customWidth="1"/>
    <x:col min="14" max="14" width="12" hidden="0" customWidth="1"/>
    <x:col min="15" max="15" width="12" hidden="0" customWidth="1"/>
    <x:col min="16" max="16" width="14" hidden="0" customWidth="1"/>
    <x:col min="17" max="17" width="28" hidden="0" customWidth="1"/>
    <x:col min="18" max="18" width="28" hidden="0" customWidth="1"/>
    <x:col min="19" max="19" width="48" hidden="0" customWidth="1"/>
    <x:col min="20" max="20" width="50" hidden="0" customWidth="1"/>
    <x:col min="21" max="21" width="18" hidden="0" customWidth="1"/>
    <x:col min="22" max="22" width="56" hidden="0" customWidth="1"/>
  </x:cols>
  <x:sheetData>
    <x:row r="1" ht="30" customHeight="1">
      <x:c r="A1" s="3" t="str">
        <x:v>run_id</x:v>
      </x:c>
      <x:c r="B1" s="3" t="str">
        <x:v>record_type</x:v>
      </x:c>
      <x:c r="C1" s="3" t="str">
        <x:v>scenario_id</x:v>
      </x:c>
      <x:c r="D1" s="3" t="str">
        <x:v>variant</x:v>
      </x:c>
      <x:c r="E1" s="3" t="str">
        <x:v>environment</x:v>
      </x:c>
      <x:c r="F1" s="3" t="str">
        <x:v>viewport</x:v>
      </x:c>
      <x:c r="G1" s="3" t="str">
        <x:v>test_date</x:v>
      </x:c>
      <x:c r="H1" s="3" t="str">
        <x:v>operator</x:v>
      </x:c>
      <x:c r="I1" s="3" t="str">
        <x:v>method</x:v>
      </x:c>
      <x:c r="J1" s="3" t="str">
        <x:v>status</x:v>
      </x:c>
      <x:c r="K1" s="3" t="str">
        <x:v>elapsed_seconds</x:v>
      </x:c>
      <x:c r="L1" s="3" t="str">
        <x:v>click_count</x:v>
      </x:c>
      <x:c r="M1" s="3" t="str">
        <x:v>scroll_count</x:v>
      </x:c>
      <x:c r="N1" s="3" t="str">
        <x:v>key_count</x:v>
      </x:c>
      <x:c r="O1" s="3" t="str">
        <x:v>error_count</x:v>
      </x:c>
      <x:c r="P1" s="3" t="str">
        <x:v>recovery_count</x:v>
      </x:c>
      <x:c r="Q1" s="3" t="str">
        <x:v>start_state</x:v>
      </x:c>
      <x:c r="R1" s="3" t="str">
        <x:v>end_state</x:v>
      </x:c>
      <x:c r="S1" s="3" t="str">
        <x:v>observation</x:v>
      </x:c>
      <x:c r="T1" s="3" t="str">
        <x:v>evidence</x:v>
      </x:c>
      <x:c r="U1" s="3" t="str">
        <x:v>human_participant_id</x:v>
      </x:c>
      <x:c r="V1" s="3" t="str">
        <x:v>limitations</x:v>
      </x:c>
    </x:row>
    <x:row r="2" ht="42" customHeight="1">
      <x:c r="A2" s="3" t="str">
        <x:v>PROTOTYPE-001</x:v>
      </x:c>
      <x:c r="B2" s="3" t="str">
        <x:v>Computer Use benchmark</x:v>
      </x:c>
      <x:c r="C2" s="3" t="str">
        <x:v>UX-01</x:v>
      </x:c>
      <x:c r="D2" s="3" t="str">
        <x:v>A</x:v>
      </x:c>
      <x:c r="E2" s="3" t="str">
        <x:v>ENV-01 Desktop</x:v>
      </x:c>
      <x:c r="F2" s="3" t="str">
        <x:v>Desktop Chrome</x:v>
      </x:c>
      <x:c r="G2" s="4" t="str">
        <x:v>2026-07-21</x:v>
      </x:c>
      <x:c r="H2" s="3" t="str">
        <x:v>Codex Computer Use</x:v>
      </x:c>
      <x:c r="I2" s="3" t="str">
        <x:v>Single-call scripted visual benchmark</x:v>
      </x:c>
      <x:c r="J2" s="3" t="str">
        <x:v>Pass</x:v>
      </x:c>
      <x:c r="K2" s="5" t="n">
        <x:v>0.566</x:v>
      </x:c>
      <x:c r="L2" s="6" t="n">
        <x:v>1</x:v>
      </x:c>
      <x:c r="M2" s="6" t="n">
        <x:v>0</x:v>
      </x:c>
      <x:c r="N2" s="6" t="n">
        <x:v>0</x:v>
      </x:c>
      <x:c r="O2" s="6" t="n">
        <x:v>0</x:v>
      </x:c>
      <x:c r="P2" s="6" t="n">
        <x:v>0</x:v>
      </x:c>
      <x:c r="Q2" s="3" t="str">
        <x:v>初期局面・対局開始前</x:v>
      </x:c>
      <x:c r="R2" s="3" t="str">
        <x:v>0手目の先手番</x:v>
      </x:c>
      <x:c r="S2" s="3" t="str">
        <x:v>対局モード内の主要CTAから開始。盤と操作パネルを同時に確認</x:v>
      </x:c>
      <x:c r="T2" s="3" t="str">
        <x:v>docs/ux/mode-separation/evidence/PROTOTYPE-001/desktop-A-mode-analysis.png</x:v>
      </x:c>
      <x:c r="U2" s="3"/>
      <x:c r="V2" s="3" t="str">
        <x:v>正解経路を既知・経過時間はComputer Use待機を含む・人間の発見性は未評価・低忠実度プロトタイプ</x:v>
      </x:c>
    </x:row>
    <x:row r="3" ht="42" customHeight="1">
      <x:c r="A3" s="3" t="str">
        <x:v>PROTOTYPE-001</x:v>
      </x:c>
      <x:c r="B3" s="3" t="str">
        <x:v>Computer Use benchmark</x:v>
      </x:c>
      <x:c r="C3" s="3" t="str">
        <x:v>UX-02</x:v>
      </x:c>
      <x:c r="D3" s="3" t="str">
        <x:v>A</x:v>
      </x:c>
      <x:c r="E3" s="3" t="str">
        <x:v>ENV-01 Desktop</x:v>
      </x:c>
      <x:c r="F3" s="3" t="str">
        <x:v>Desktop Chrome</x:v>
      </x:c>
      <x:c r="G3" s="4" t="str">
        <x:v>2026-07-21</x:v>
      </x:c>
      <x:c r="H3" s="3" t="str">
        <x:v>Codex Computer Use</x:v>
      </x:c>
      <x:c r="I3" s="3" t="str">
        <x:v>Single-call scripted visual benchmark</x:v>
      </x:c>
      <x:c r="J3" s="3" t="str">
        <x:v>Pass</x:v>
      </x:c>
      <x:c r="K3" s="5" t="n">
        <x:v>1.146</x:v>
      </x:c>
      <x:c r="L3" s="6" t="n">
        <x:v>2</x:v>
      </x:c>
      <x:c r="M3" s="6" t="n">
        <x:v>0</x:v>
      </x:c>
      <x:c r="N3" s="6" t="n">
        <x:v>0</x:v>
      </x:c>
      <x:c r="O3" s="6" t="n">
        <x:v>0</x:v>
      </x:c>
      <x:c r="P3" s="6" t="n">
        <x:v>0</x:v>
      </x:c>
      <x:c r="Q3" s="3" t="str">
        <x:v>0手目の先手番</x:v>
      </x:c>
      <x:c r="R3" s="3" t="str">
        <x:v>AI応手後の2手目と棋譜</x:v>
      </x:c>
      <x:c r="S3" s="3" t="str">
        <x:v>盤で着手後、同じ表示範囲の棋譜にAI応手まで反映</x:v>
      </x:c>
      <x:c r="T3" s="3" t="str">
        <x:v>docs/ux/mode-separation/evidence/PROTOTYPE-001/desktop-A-mode-analysis.png</x:v>
      </x:c>
      <x:c r="U3" s="3"/>
      <x:c r="V3" s="3" t="str">
        <x:v>正解経路を既知・経過時間はComputer Use待機を含む・人間の発見性は未評価・低忠実度プロトタイプ</x:v>
      </x:c>
    </x:row>
    <x:row r="4" ht="42" customHeight="1">
      <x:c r="A4" s="3" t="str">
        <x:v>PROTOTYPE-001</x:v>
      </x:c>
      <x:c r="B4" s="3" t="str">
        <x:v>Computer Use benchmark</x:v>
      </x:c>
      <x:c r="C4" s="3" t="str">
        <x:v>UX-03</x:v>
      </x:c>
      <x:c r="D4" s="3" t="str">
        <x:v>A</x:v>
      </x:c>
      <x:c r="E4" s="3" t="str">
        <x:v>ENV-01 Desktop</x:v>
      </x:c>
      <x:c r="F4" s="3" t="str">
        <x:v>Desktop Chrome</x:v>
      </x:c>
      <x:c r="G4" s="4" t="str">
        <x:v>2026-07-21</x:v>
      </x:c>
      <x:c r="H4" s="3" t="str">
        <x:v>Codex Computer Use</x:v>
      </x:c>
      <x:c r="I4" s="3" t="str">
        <x:v>Single-call scripted visual benchmark</x:v>
      </x:c>
      <x:c r="J4" s="3" t="str">
        <x:v>Pass</x:v>
      </x:c>
      <x:c r="K4" s="5" t="n">
        <x:v>1.54</x:v>
      </x:c>
      <x:c r="L4" s="6" t="n">
        <x:v>2</x:v>
      </x:c>
      <x:c r="M4" s="6" t="n">
        <x:v>0</x:v>
      </x:c>
      <x:c r="N4" s="6" t="n">
        <x:v>0</x:v>
      </x:c>
      <x:c r="O4" s="6" t="n">
        <x:v>0</x:v>
      </x:c>
      <x:c r="P4" s="6" t="n">
        <x:v>0</x:v>
      </x:c>
      <x:c r="Q4" s="3" t="str">
        <x:v>2手目の最終局面</x:v>
      </x:c>
      <x:c r="R4" s="3" t="str">
        <x:v>現在局面の最善手と評価グラフ</x:v>
      </x:c>
      <x:c r="S4" s="3" t="str">
        <x:v>解析モードへ切り替えて開始。局面と棋譜は保持</x:v>
      </x:c>
      <x:c r="T4" s="3" t="str">
        <x:v>docs/ux/mode-separation/evidence/PROTOTYPE-001/desktop-A-mode-analysis.png</x:v>
      </x:c>
      <x:c r="U4" s="3"/>
      <x:c r="V4" s="3" t="str">
        <x:v>正解経路を既知・経過時間はComputer Use待機を含む・人間の発見性は未評価・低忠実度プロトタイプ</x:v>
      </x:c>
    </x:row>
    <x:row r="5" ht="42" customHeight="1">
      <x:c r="A5" s="3" t="str">
        <x:v>PROTOTYPE-001</x:v>
      </x:c>
      <x:c r="B5" s="3" t="str">
        <x:v>Computer Use benchmark</x:v>
      </x:c>
      <x:c r="C5" s="3" t="str">
        <x:v>UX-04</x:v>
      </x:c>
      <x:c r="D5" s="3" t="str">
        <x:v>A</x:v>
      </x:c>
      <x:c r="E5" s="3" t="str">
        <x:v>ENV-01 Desktop</x:v>
      </x:c>
      <x:c r="F5" s="3" t="str">
        <x:v>Desktop Chrome</x:v>
      </x:c>
      <x:c r="G5" s="4" t="str">
        <x:v>2026-07-21</x:v>
      </x:c>
      <x:c r="H5" s="3" t="str">
        <x:v>Codex Computer Use</x:v>
      </x:c>
      <x:c r="I5" s="3" t="str">
        <x:v>Single-call scripted visual benchmark</x:v>
      </x:c>
      <x:c r="J5" s="3" t="str">
        <x:v>Pass</x:v>
      </x:c>
      <x:c r="K5" s="5" t="n">
        <x:v>4.036</x:v>
      </x:c>
      <x:c r="L5" s="6" t="n">
        <x:v>5</x:v>
      </x:c>
      <x:c r="M5" s="6" t="n">
        <x:v>0</x:v>
      </x:c>
      <x:c r="N5" s="6" t="n">
        <x:v>0</x:v>
      </x:c>
      <x:c r="O5" s="6" t="n">
        <x:v>0</x:v>
      </x:c>
      <x:c r="P5" s="6" t="n">
        <x:v>0</x:v>
      </x:c>
      <x:c r="Q5" s="3" t="str">
        <x:v>初期局面</x:v>
      </x:c>
      <x:c r="R5" s="3" t="str">
        <x:v>5手KIFの3手目と解析結果</x:v>
      </x:c>
      <x:c r="S5" s="3" t="str">
        <x:v>共通KIFを読み込み3手目へ移動。モード切替後も局面を保持</x:v>
      </x:c>
      <x:c r="T5" s="3" t="str">
        <x:v>docs/ux/mode-separation/evidence/PROTOTYPE-001/desktop-A-mode-analysis.png</x:v>
      </x:c>
      <x:c r="U5" s="3"/>
      <x:c r="V5" s="3" t="str">
        <x:v>正解経路を既知・経過時間はComputer Use待機を含む・人間の発見性は未評価・低忠実度プロトタイプ</x:v>
      </x:c>
    </x:row>
    <x:row r="6" ht="42" customHeight="1">
      <x:c r="A6" s="3" t="str">
        <x:v>PROTOTYPE-001</x:v>
      </x:c>
      <x:c r="B6" s="3" t="str">
        <x:v>Computer Use benchmark</x:v>
      </x:c>
      <x:c r="C6" s="3" t="str">
        <x:v>UX-05</x:v>
      </x:c>
      <x:c r="D6" s="3" t="str">
        <x:v>A</x:v>
      </x:c>
      <x:c r="E6" s="3" t="str">
        <x:v>ENV-01 Desktop</x:v>
      </x:c>
      <x:c r="F6" s="3" t="str">
        <x:v>Desktop Chrome</x:v>
      </x:c>
      <x:c r="G6" s="4" t="str">
        <x:v>2026-07-21</x:v>
      </x:c>
      <x:c r="H6" s="3" t="str">
        <x:v>Codex Computer Use</x:v>
      </x:c>
      <x:c r="I6" s="3" t="str">
        <x:v>Single-call scripted visual benchmark</x:v>
      </x:c>
      <x:c r="J6" s="3" t="str">
        <x:v>Pass</x:v>
      </x:c>
      <x:c r="K6" s="5" t="n">
        <x:v>0.789</x:v>
      </x:c>
      <x:c r="L6" s="6" t="n">
        <x:v>1</x:v>
      </x:c>
      <x:c r="M6" s="6" t="n">
        <x:v>0</x:v>
      </x:c>
      <x:c r="N6" s="6" t="n">
        <x:v>0</x:v>
      </x:c>
      <x:c r="O6" s="6" t="n">
        <x:v>0</x:v>
      </x:c>
      <x:c r="P6" s="6" t="n">
        <x:v>0</x:v>
      </x:c>
      <x:c r="Q6" s="3" t="str">
        <x:v>解析済み5手KIFの3手目</x:v>
      </x:c>
      <x:c r="R6" s="3" t="str">
        <x:v>URL共有完了</x:v>
      </x:c>
      <x:c r="S6" s="3" t="str">
        <x:v>解析モードにも共通棋譜操作が残り、保存と共有へ直接到達</x:v>
      </x:c>
      <x:c r="T6" s="3" t="str">
        <x:v>docs/ux/mode-separation/evidence/PROTOTYPE-001/desktop-A-mode-analysis.png</x:v>
      </x:c>
      <x:c r="U6" s="3"/>
      <x:c r="V6" s="3" t="str">
        <x:v>正解経路を既知・経過時間はComputer Use待機を含む・人間の発見性は未評価・低忠実度プロトタイプ</x:v>
      </x:c>
    </x:row>
    <x:row r="7" ht="42" customHeight="1">
      <x:c r="A7" s="3" t="str">
        <x:v>PROTOTYPE-001</x:v>
      </x:c>
      <x:c r="B7" s="3" t="str">
        <x:v>Computer Use benchmark</x:v>
      </x:c>
      <x:c r="C7" s="3" t="str">
        <x:v>UX-01</x:v>
      </x:c>
      <x:c r="D7" s="3" t="str">
        <x:v>A</x:v>
      </x:c>
      <x:c r="E7" s="3" t="str">
        <x:v>ENV-02 Narrow</x:v>
      </x:c>
      <x:c r="F7" s="3" t="str">
        <x:v>400x625</x:v>
      </x:c>
      <x:c r="G7" s="4" t="str">
        <x:v>2026-07-21</x:v>
      </x:c>
      <x:c r="H7" s="3" t="str">
        <x:v>Codex Computer Use</x:v>
      </x:c>
      <x:c r="I7" s="3" t="str">
        <x:v>Single-call scripted visual benchmark</x:v>
      </x:c>
      <x:c r="J7" s="3" t="str">
        <x:v>Pass</x:v>
      </x:c>
      <x:c r="K7" s="5" t="n">
        <x:v>3.122</x:v>
      </x:c>
      <x:c r="L7" s="6" t="n">
        <x:v>1</x:v>
      </x:c>
      <x:c r="M7" s="6" t="n">
        <x:v>1</x:v>
      </x:c>
      <x:c r="N7" s="6" t="n">
        <x:v>0</x:v>
      </x:c>
      <x:c r="O7" s="6" t="n">
        <x:v>0</x:v>
      </x:c>
      <x:c r="P7" s="6" t="n">
        <x:v>0</x:v>
      </x:c>
      <x:c r="Q7" s="3" t="str">
        <x:v>初期局面・対局開始前</x:v>
      </x:c>
      <x:c r="R7" s="3" t="str">
        <x:v>0手目の先手番</x:v>
      </x:c>
      <x:c r="S7" s="3" t="str">
        <x:v>盤中心の初期表示から対局カードへ1回スクロールして開始</x:v>
      </x:c>
      <x:c r="T7" s="3" t="str">
        <x:v>docs/ux/mode-separation/evidence/PROTOTYPE-001/mobile-A-mode-analysis.png</x:v>
      </x:c>
      <x:c r="U7" s="3"/>
      <x:c r="V7" s="3" t="str">
        <x:v>正解経路を既知・経過時間はComputer Use待機を含む・人間の発見性は未評価・低忠実度プロトタイプ</x:v>
      </x:c>
    </x:row>
    <x:row r="8" ht="42" customHeight="1">
      <x:c r="A8" s="3" t="str">
        <x:v>PROTOTYPE-001</x:v>
      </x:c>
      <x:c r="B8" s="3" t="str">
        <x:v>Computer Use benchmark</x:v>
      </x:c>
      <x:c r="C8" s="3" t="str">
        <x:v>UX-02</x:v>
      </x:c>
      <x:c r="D8" s="3" t="str">
        <x:v>A</x:v>
      </x:c>
      <x:c r="E8" s="3" t="str">
        <x:v>ENV-02 Narrow</x:v>
      </x:c>
      <x:c r="F8" s="3" t="str">
        <x:v>400x625</x:v>
      </x:c>
      <x:c r="G8" s="4" t="str">
        <x:v>2026-07-21</x:v>
      </x:c>
      <x:c r="H8" s="3" t="str">
        <x:v>Codex Computer Use</x:v>
      </x:c>
      <x:c r="I8" s="3" t="str">
        <x:v>Single-call scripted visual benchmark</x:v>
      </x:c>
      <x:c r="J8" s="3" t="str">
        <x:v>Pass</x:v>
      </x:c>
      <x:c r="K8" s="5" t="n">
        <x:v>4.988</x:v>
      </x:c>
      <x:c r="L8" s="6" t="n">
        <x:v>2</x:v>
      </x:c>
      <x:c r="M8" s="6" t="n">
        <x:v>2</x:v>
      </x:c>
      <x:c r="N8" s="6" t="n">
        <x:v>0</x:v>
      </x:c>
      <x:c r="O8" s="6" t="n">
        <x:v>0</x:v>
      </x:c>
      <x:c r="P8" s="6" t="n">
        <x:v>0</x:v>
      </x:c>
      <x:c r="Q8" s="3" t="str">
        <x:v>0手目の先手番</x:v>
      </x:c>
      <x:c r="R8" s="3" t="str">
        <x:v>AI応手後の2手目と棋譜</x:v>
      </x:c>
      <x:c r="S8" s="3" t="str">
        <x:v>対局カードから盤へ戻り、着手後に棋譜へ移動するため上下2回</x:v>
      </x:c>
      <x:c r="T8" s="3" t="str">
        <x:v>docs/ux/mode-separation/evidence/PROTOTYPE-001/mobile-A-mode-analysis.png</x:v>
      </x:c>
      <x:c r="U8" s="3"/>
      <x:c r="V8" s="3" t="str">
        <x:v>正解経路を既知・経過時間はComputer Use待機を含む・人間の発見性は未評価・低忠実度プロトタイプ</x:v>
      </x:c>
    </x:row>
    <x:row r="9" ht="42" customHeight="1">
      <x:c r="A9" s="3" t="str">
        <x:v>PROTOTYPE-001</x:v>
      </x:c>
      <x:c r="B9" s="3" t="str">
        <x:v>Computer Use benchmark</x:v>
      </x:c>
      <x:c r="C9" s="3" t="str">
        <x:v>UX-03</x:v>
      </x:c>
      <x:c r="D9" s="3" t="str">
        <x:v>A</x:v>
      </x:c>
      <x:c r="E9" s="3" t="str">
        <x:v>ENV-02 Narrow</x:v>
      </x:c>
      <x:c r="F9" s="3" t="str">
        <x:v>400x625</x:v>
      </x:c>
      <x:c r="G9" s="4" t="str">
        <x:v>2026-07-21</x:v>
      </x:c>
      <x:c r="H9" s="3" t="str">
        <x:v>Codex Computer Use</x:v>
      </x:c>
      <x:c r="I9" s="3" t="str">
        <x:v>Single-call scripted visual benchmark</x:v>
      </x:c>
      <x:c r="J9" s="3" t="str">
        <x:v>Pass</x:v>
      </x:c>
      <x:c r="K9" s="5" t="n">
        <x:v>4.549</x:v>
      </x:c>
      <x:c r="L9" s="6" t="n">
        <x:v>2</x:v>
      </x:c>
      <x:c r="M9" s="6" t="n">
        <x:v>1</x:v>
      </x:c>
      <x:c r="N9" s="6" t="n">
        <x:v>0</x:v>
      </x:c>
      <x:c r="O9" s="6" t="n">
        <x:v>0</x:v>
      </x:c>
      <x:c r="P9" s="6" t="n">
        <x:v>0</x:v>
      </x:c>
      <x:c r="Q9" s="3" t="str">
        <x:v>2手目の最終局面</x:v>
      </x:c>
      <x:c r="R9" s="3" t="str">
        <x:v>現在局面の最善手と評価グラフ</x:v>
      </x:c>
      <x:c r="S9" s="3" t="str">
        <x:v>固定ドックで解析へ切り替えた後、解析CTAへ1回上方向スクロール</x:v>
      </x:c>
      <x:c r="T9" s="3" t="str">
        <x:v>docs/ux/mode-separation/evidence/PROTOTYPE-001/mobile-A-mode-analysis.png</x:v>
      </x:c>
      <x:c r="U9" s="3"/>
      <x:c r="V9" s="3" t="str">
        <x:v>正解経路を既知・経過時間はComputer Use待機を含む・人間の発見性は未評価・低忠実度プロトタイプ</x:v>
      </x:c>
    </x:row>
    <x:row r="10" ht="42" customHeight="1">
      <x:c r="A10" s="3" t="str">
        <x:v>PROTOTYPE-001</x:v>
      </x:c>
      <x:c r="B10" s="3" t="str">
        <x:v>Computer Use benchmark</x:v>
      </x:c>
      <x:c r="C10" s="3" t="str">
        <x:v>UX-04</x:v>
      </x:c>
      <x:c r="D10" s="3" t="str">
        <x:v>A</x:v>
      </x:c>
      <x:c r="E10" s="3" t="str">
        <x:v>ENV-02 Narrow</x:v>
      </x:c>
      <x:c r="F10" s="3" t="str">
        <x:v>400x625</x:v>
      </x:c>
      <x:c r="G10" s="4" t="str">
        <x:v>2026-07-21</x:v>
      </x:c>
      <x:c r="H10" s="3" t="str">
        <x:v>Codex Computer Use</x:v>
      </x:c>
      <x:c r="I10" s="3" t="str">
        <x:v>Single-call scripted visual benchmark</x:v>
      </x:c>
      <x:c r="J10" s="3" t="str">
        <x:v>Pass</x:v>
      </x:c>
      <x:c r="K10" s="5" t="n">
        <x:v>9.265</x:v>
      </x:c>
      <x:c r="L10" s="6" t="n">
        <x:v>5</x:v>
      </x:c>
      <x:c r="M10" s="6" t="n">
        <x:v>2</x:v>
      </x:c>
      <x:c r="N10" s="6" t="n">
        <x:v>0</x:v>
      </x:c>
      <x:c r="O10" s="6" t="n">
        <x:v>0</x:v>
      </x:c>
      <x:c r="P10" s="6" t="n">
        <x:v>0</x:v>
      </x:c>
      <x:c r="Q10" s="3" t="str">
        <x:v>初期局面</x:v>
      </x:c>
      <x:c r="R10" s="3" t="str">
        <x:v>5手KIFの3手目と解析結果</x:v>
      </x:c>
      <x:c r="S10" s="3" t="str">
        <x:v>KIF操作領域へ下移動し、モード切替後の解析CTAへ上移動</x:v>
      </x:c>
      <x:c r="T10" s="3" t="str">
        <x:v>docs/ux/mode-separation/evidence/PROTOTYPE-001/mobile-A-mode-analysis.png</x:v>
      </x:c>
      <x:c r="U10" s="3"/>
      <x:c r="V10" s="3" t="str">
        <x:v>正解経路を既知・経過時間はComputer Use待機を含む・人間の発見性は未評価・低忠実度プロトタイプ</x:v>
      </x:c>
    </x:row>
    <x:row r="11" ht="42" customHeight="1">
      <x:c r="A11" s="3" t="str">
        <x:v>PROTOTYPE-001</x:v>
      </x:c>
      <x:c r="B11" s="3" t="str">
        <x:v>Computer Use benchmark</x:v>
      </x:c>
      <x:c r="C11" s="3" t="str">
        <x:v>UX-05</x:v>
      </x:c>
      <x:c r="D11" s="3" t="str">
        <x:v>A</x:v>
      </x:c>
      <x:c r="E11" s="3" t="str">
        <x:v>ENV-02 Narrow</x:v>
      </x:c>
      <x:c r="F11" s="3" t="str">
        <x:v>400x625</x:v>
      </x:c>
      <x:c r="G11" s="4" t="str">
        <x:v>2026-07-21</x:v>
      </x:c>
      <x:c r="H11" s="3" t="str">
        <x:v>Codex Computer Use</x:v>
      </x:c>
      <x:c r="I11" s="3" t="str">
        <x:v>Single-call scripted visual benchmark</x:v>
      </x:c>
      <x:c r="J11" s="3" t="str">
        <x:v>Pass</x:v>
      </x:c>
      <x:c r="K11" s="5" t="n">
        <x:v>3.038</x:v>
      </x:c>
      <x:c r="L11" s="6" t="n">
        <x:v>1</x:v>
      </x:c>
      <x:c r="M11" s="6" t="n">
        <x:v>1</x:v>
      </x:c>
      <x:c r="N11" s="6" t="n">
        <x:v>0</x:v>
      </x:c>
      <x:c r="O11" s="6" t="n">
        <x:v>0</x:v>
      </x:c>
      <x:c r="P11" s="6" t="n">
        <x:v>0</x:v>
      </x:c>
      <x:c r="Q11" s="3" t="str">
        <x:v>解析済み5手KIFの3手目</x:v>
      </x:c>
      <x:c r="R11" s="3" t="str">
        <x:v>URL共有完了</x:v>
      </x:c>
      <x:c r="S11" s="3" t="str">
        <x:v>解析結果から共通棋譜操作へ1回下方向スクロールして共有</x:v>
      </x:c>
      <x:c r="T11" s="3" t="str">
        <x:v>docs/ux/mode-separation/evidence/PROTOTYPE-001/mobile-A-mode-analysis.png</x:v>
      </x:c>
      <x:c r="U11" s="3"/>
      <x:c r="V11" s="3" t="str">
        <x:v>正解経路を既知・経過時間はComputer Use待機を含む・人間の発見性は未評価・低忠実度プロトタイプ</x:v>
      </x:c>
    </x:row>
    <x:row r="12" ht="42" customHeight="1">
      <x:c r="A12" s="3" t="str">
        <x:v>PROTOTYPE-001</x:v>
      </x:c>
      <x:c r="B12" s="3" t="str">
        <x:v>Computer Use benchmark</x:v>
      </x:c>
      <x:c r="C12" s="3" t="str">
        <x:v>UX-01</x:v>
      </x:c>
      <x:c r="D12" s="3" t="str">
        <x:v>B</x:v>
      </x:c>
      <x:c r="E12" s="3" t="str">
        <x:v>ENV-01 Desktop</x:v>
      </x:c>
      <x:c r="F12" s="3" t="str">
        <x:v>Desktop Chrome</x:v>
      </x:c>
      <x:c r="G12" s="4" t="str">
        <x:v>2026-07-21</x:v>
      </x:c>
      <x:c r="H12" s="3" t="str">
        <x:v>Codex Computer Use</x:v>
      </x:c>
      <x:c r="I12" s="3" t="str">
        <x:v>Single-call scripted visual benchmark</x:v>
      </x:c>
      <x:c r="J12" s="3" t="str">
        <x:v>Pass</x:v>
      </x:c>
      <x:c r="K12" s="5" t="n">
        <x:v>0.566</x:v>
      </x:c>
      <x:c r="L12" s="6" t="n">
        <x:v>1</x:v>
      </x:c>
      <x:c r="M12" s="6" t="n">
        <x:v>0</x:v>
      </x:c>
      <x:c r="N12" s="6" t="n">
        <x:v>0</x:v>
      </x:c>
      <x:c r="O12" s="6" t="n">
        <x:v>0</x:v>
      </x:c>
      <x:c r="P12" s="6" t="n">
        <x:v>0</x:v>
      </x:c>
      <x:c r="Q12" s="3" t="str">
        <x:v>初期局面・対局開始前</x:v>
      </x:c>
      <x:c r="R12" s="3" t="str">
        <x:v>0手目の先手番</x:v>
      </x:c>
      <x:c r="S12" s="3" t="str">
        <x:v>対局を基本表示にしたまま主要CTAから開始</x:v>
      </x:c>
      <x:c r="T12" s="3" t="str">
        <x:v>docs/ux/mode-separation/evidence/PROTOTYPE-001/desktop-B-sheet-analysis.png</x:v>
      </x:c>
      <x:c r="U12" s="3"/>
      <x:c r="V12" s="3" t="str">
        <x:v>正解経路を既知・経過時間はComputer Use待機を含む・人間の発見性は未評価・低忠実度プロトタイプ</x:v>
      </x:c>
    </x:row>
    <x:row r="13" ht="42" customHeight="1">
      <x:c r="A13" s="3" t="str">
        <x:v>PROTOTYPE-001</x:v>
      </x:c>
      <x:c r="B13" s="3" t="str">
        <x:v>Computer Use benchmark</x:v>
      </x:c>
      <x:c r="C13" s="3" t="str">
        <x:v>UX-02</x:v>
      </x:c>
      <x:c r="D13" s="3" t="str">
        <x:v>B</x:v>
      </x:c>
      <x:c r="E13" s="3" t="str">
        <x:v>ENV-01 Desktop</x:v>
      </x:c>
      <x:c r="F13" s="3" t="str">
        <x:v>Desktop Chrome</x:v>
      </x:c>
      <x:c r="G13" s="4" t="str">
        <x:v>2026-07-21</x:v>
      </x:c>
      <x:c r="H13" s="3" t="str">
        <x:v>Codex Computer Use</x:v>
      </x:c>
      <x:c r="I13" s="3" t="str">
        <x:v>Single-call scripted visual benchmark</x:v>
      </x:c>
      <x:c r="J13" s="3" t="str">
        <x:v>Pass</x:v>
      </x:c>
      <x:c r="K13" s="5" t="n">
        <x:v>1.042</x:v>
      </x:c>
      <x:c r="L13" s="6" t="n">
        <x:v>2</x:v>
      </x:c>
      <x:c r="M13" s="6" t="n">
        <x:v>0</x:v>
      </x:c>
      <x:c r="N13" s="6" t="n">
        <x:v>0</x:v>
      </x:c>
      <x:c r="O13" s="6" t="n">
        <x:v>0</x:v>
      </x:c>
      <x:c r="P13" s="6" t="n">
        <x:v>0</x:v>
      </x:c>
      <x:c r="Q13" s="3" t="str">
        <x:v>0手目の先手番</x:v>
      </x:c>
      <x:c r="R13" s="3" t="str">
        <x:v>AI応手後の2手目と棋譜</x:v>
      </x:c>
      <x:c r="S13" s="3" t="str">
        <x:v>盤と棋譜を常時表示した状態でAI応手まで確認</x:v>
      </x:c>
      <x:c r="T13" s="3" t="str">
        <x:v>docs/ux/mode-separation/evidence/PROTOTYPE-001/desktop-B-sheet-analysis.png</x:v>
      </x:c>
      <x:c r="U13" s="3"/>
      <x:c r="V13" s="3" t="str">
        <x:v>正解経路を既知・経過時間はComputer Use待機を含む・人間の発見性は未評価・低忠実度プロトタイプ</x:v>
      </x:c>
    </x:row>
    <x:row r="14" ht="42" customHeight="1">
      <x:c r="A14" s="3" t="str">
        <x:v>PROTOTYPE-001</x:v>
      </x:c>
      <x:c r="B14" s="3" t="str">
        <x:v>Computer Use benchmark</x:v>
      </x:c>
      <x:c r="C14" s="3" t="str">
        <x:v>UX-03</x:v>
      </x:c>
      <x:c r="D14" s="3" t="str">
        <x:v>B</x:v>
      </x:c>
      <x:c r="E14" s="3" t="str">
        <x:v>ENV-01 Desktop</x:v>
      </x:c>
      <x:c r="F14" s="3" t="str">
        <x:v>Desktop Chrome</x:v>
      </x:c>
      <x:c r="G14" s="4" t="str">
        <x:v>2026-07-21</x:v>
      </x:c>
      <x:c r="H14" s="3" t="str">
        <x:v>Codex Computer Use</x:v>
      </x:c>
      <x:c r="I14" s="3" t="str">
        <x:v>Single-call scripted visual benchmark</x:v>
      </x:c>
      <x:c r="J14" s="3" t="str">
        <x:v>Pass</x:v>
      </x:c>
      <x:c r="K14" s="5" t="n">
        <x:v>1.319</x:v>
      </x:c>
      <x:c r="L14" s="6" t="n">
        <x:v>2</x:v>
      </x:c>
      <x:c r="M14" s="6" t="n">
        <x:v>0</x:v>
      </x:c>
      <x:c r="N14" s="6" t="n">
        <x:v>0</x:v>
      </x:c>
      <x:c r="O14" s="6" t="n">
        <x:v>0</x:v>
      </x:c>
      <x:c r="P14" s="6" t="n">
        <x:v>0</x:v>
      </x:c>
      <x:c r="Q14" s="3" t="str">
        <x:v>2手目の最終局面</x:v>
      </x:c>
      <x:c r="R14" s="3" t="str">
        <x:v>現在局面の最善手と評価グラフ</x:v>
      </x:c>
      <x:c r="S14" s="3" t="str">
        <x:v>盤と棋譜を残した非モーダルシート内で解析結果を確認</x:v>
      </x:c>
      <x:c r="T14" s="3" t="str">
        <x:v>docs/ux/mode-separation/evidence/PROTOTYPE-001/desktop-B-sheet-analysis.png</x:v>
      </x:c>
      <x:c r="U14" s="3"/>
      <x:c r="V14" s="3" t="str">
        <x:v>正解経路を既知・経過時間はComputer Use待機を含む・人間の発見性は未評価・低忠実度プロトタイプ</x:v>
      </x:c>
    </x:row>
    <x:row r="15" ht="42" customHeight="1">
      <x:c r="A15" s="3" t="str">
        <x:v>PROTOTYPE-001</x:v>
      </x:c>
      <x:c r="B15" s="3" t="str">
        <x:v>Computer Use benchmark</x:v>
      </x:c>
      <x:c r="C15" s="3" t="str">
        <x:v>UX-04</x:v>
      </x:c>
      <x:c r="D15" s="3" t="str">
        <x:v>B</x:v>
      </x:c>
      <x:c r="E15" s="3" t="str">
        <x:v>ENV-01 Desktop</x:v>
      </x:c>
      <x:c r="F15" s="3" t="str">
        <x:v>Desktop Chrome</x:v>
      </x:c>
      <x:c r="G15" s="4" t="str">
        <x:v>2026-07-21</x:v>
      </x:c>
      <x:c r="H15" s="3" t="str">
        <x:v>Codex Computer Use</x:v>
      </x:c>
      <x:c r="I15" s="3" t="str">
        <x:v>Single-call scripted visual benchmark</x:v>
      </x:c>
      <x:c r="J15" s="3" t="str">
        <x:v>Pass</x:v>
      </x:c>
      <x:c r="K15" s="5" t="n">
        <x:v>3.748</x:v>
      </x:c>
      <x:c r="L15" s="6" t="n">
        <x:v>5</x:v>
      </x:c>
      <x:c r="M15" s="6" t="n">
        <x:v>0</x:v>
      </x:c>
      <x:c r="N15" s="6" t="n">
        <x:v>0</x:v>
      </x:c>
      <x:c r="O15" s="6" t="n">
        <x:v>0</x:v>
      </x:c>
      <x:c r="P15" s="6" t="n">
        <x:v>0</x:v>
      </x:c>
      <x:c r="Q15" s="3" t="str">
        <x:v>初期局面</x:v>
      </x:c>
      <x:c r="R15" s="3" t="str">
        <x:v>5手KIFの3手目と解析結果</x:v>
      </x:c>
      <x:c r="S15" s="3" t="str">
        <x:v>5手KIFの3手目を保持したまま解析シートを展開</x:v>
      </x:c>
      <x:c r="T15" s="3" t="str">
        <x:v>docs/ux/mode-separation/evidence/PROTOTYPE-001/desktop-B-sheet-analysis.png</x:v>
      </x:c>
      <x:c r="U15" s="3"/>
      <x:c r="V15" s="3" t="str">
        <x:v>正解経路を既知・経過時間はComputer Use待機を含む・人間の発見性は未評価・低忠実度プロトタイプ</x:v>
      </x:c>
    </x:row>
    <x:row r="16" ht="42" customHeight="1">
      <x:c r="A16" s="3" t="str">
        <x:v>PROTOTYPE-001</x:v>
      </x:c>
      <x:c r="B16" s="3" t="str">
        <x:v>Computer Use benchmark</x:v>
      </x:c>
      <x:c r="C16" s="3" t="str">
        <x:v>UX-05</x:v>
      </x:c>
      <x:c r="D16" s="3" t="str">
        <x:v>B</x:v>
      </x:c>
      <x:c r="E16" s="3" t="str">
        <x:v>ENV-01 Desktop</x:v>
      </x:c>
      <x:c r="F16" s="3" t="str">
        <x:v>Desktop Chrome</x:v>
      </x:c>
      <x:c r="G16" s="4" t="str">
        <x:v>2026-07-21</x:v>
      </x:c>
      <x:c r="H16" s="3" t="str">
        <x:v>Codex Computer Use</x:v>
      </x:c>
      <x:c r="I16" s="3" t="str">
        <x:v>Single-call scripted visual benchmark</x:v>
      </x:c>
      <x:c r="J16" s="3" t="str">
        <x:v>Pass</x:v>
      </x:c>
      <x:c r="K16" s="5" t="n">
        <x:v>1.322</x:v>
      </x:c>
      <x:c r="L16" s="6" t="n">
        <x:v>2</x:v>
      </x:c>
      <x:c r="M16" s="6" t="n">
        <x:v>0</x:v>
      </x:c>
      <x:c r="N16" s="6" t="n">
        <x:v>0</x:v>
      </x:c>
      <x:c r="O16" s="6" t="n">
        <x:v>0</x:v>
      </x:c>
      <x:c r="P16" s="6" t="n">
        <x:v>0</x:v>
      </x:c>
      <x:c r="Q16" s="3" t="str">
        <x:v>解析済み5手KIFの3手目</x:v>
      </x:c>
      <x:c r="R16" s="3" t="str">
        <x:v>URL共有完了</x:v>
      </x:c>
      <x:c r="S16" s="3" t="str">
        <x:v>保存・共有へ戻るには解析シートを閉じる1操作が必要</x:v>
      </x:c>
      <x:c r="T16" s="3" t="str">
        <x:v>docs/ux/mode-separation/evidence/PROTOTYPE-001/desktop-B-sheet-analysis.png</x:v>
      </x:c>
      <x:c r="U16" s="3"/>
      <x:c r="V16" s="3" t="str">
        <x:v>正解経路を既知・経過時間はComputer Use待機を含む・人間の発見性は未評価・低忠実度プロトタイプ</x:v>
      </x:c>
    </x:row>
    <x:row r="17" ht="42" customHeight="1">
      <x:c r="A17" s="3" t="str">
        <x:v>PROTOTYPE-001</x:v>
      </x:c>
      <x:c r="B17" s="3" t="str">
        <x:v>Computer Use benchmark</x:v>
      </x:c>
      <x:c r="C17" s="3" t="str">
        <x:v>UX-01</x:v>
      </x:c>
      <x:c r="D17" s="3" t="str">
        <x:v>B</x:v>
      </x:c>
      <x:c r="E17" s="3" t="str">
        <x:v>ENV-02 Narrow</x:v>
      </x:c>
      <x:c r="F17" s="3" t="str">
        <x:v>400x625</x:v>
      </x:c>
      <x:c r="G17" s="4" t="str">
        <x:v>2026-07-21</x:v>
      </x:c>
      <x:c r="H17" s="3" t="str">
        <x:v>Codex Computer Use</x:v>
      </x:c>
      <x:c r="I17" s="3" t="str">
        <x:v>Single-call scripted visual benchmark</x:v>
      </x:c>
      <x:c r="J17" s="3" t="str">
        <x:v>Pass</x:v>
      </x:c>
      <x:c r="K17" s="5" t="n">
        <x:v>3.197</x:v>
      </x:c>
      <x:c r="L17" s="6" t="n">
        <x:v>1</x:v>
      </x:c>
      <x:c r="M17" s="6" t="n">
        <x:v>1</x:v>
      </x:c>
      <x:c r="N17" s="6" t="n">
        <x:v>0</x:v>
      </x:c>
      <x:c r="O17" s="6" t="n">
        <x:v>0</x:v>
      </x:c>
      <x:c r="P17" s="6" t="n">
        <x:v>0</x:v>
      </x:c>
      <x:c r="Q17" s="3" t="str">
        <x:v>初期局面・対局開始前</x:v>
      </x:c>
      <x:c r="R17" s="3" t="str">
        <x:v>0手目の先手番</x:v>
      </x:c>
      <x:c r="S17" s="3" t="str">
        <x:v>盤中心の初期表示から対局カードへ1回スクロールして開始</x:v>
      </x:c>
      <x:c r="T17" s="3" t="str">
        <x:v>docs/ux/mode-separation/evidence/PROTOTYPE-001/mobile-B-sheet-analysis.png</x:v>
      </x:c>
      <x:c r="U17" s="3"/>
      <x:c r="V17" s="3" t="str">
        <x:v>正解経路を既知・経過時間はComputer Use待機を含む・人間の発見性は未評価・低忠実度プロトタイプ</x:v>
      </x:c>
    </x:row>
    <x:row r="18" ht="42" customHeight="1">
      <x:c r="A18" s="3" t="str">
        <x:v>PROTOTYPE-001</x:v>
      </x:c>
      <x:c r="B18" s="3" t="str">
        <x:v>Computer Use benchmark</x:v>
      </x:c>
      <x:c r="C18" s="3" t="str">
        <x:v>UX-02</x:v>
      </x:c>
      <x:c r="D18" s="3" t="str">
        <x:v>B</x:v>
      </x:c>
      <x:c r="E18" s="3" t="str">
        <x:v>ENV-02 Narrow</x:v>
      </x:c>
      <x:c r="F18" s="3" t="str">
        <x:v>400x625</x:v>
      </x:c>
      <x:c r="G18" s="4" t="str">
        <x:v>2026-07-21</x:v>
      </x:c>
      <x:c r="H18" s="3" t="str">
        <x:v>Codex Computer Use</x:v>
      </x:c>
      <x:c r="I18" s="3" t="str">
        <x:v>Single-call scripted visual benchmark</x:v>
      </x:c>
      <x:c r="J18" s="3" t="str">
        <x:v>Pass</x:v>
      </x:c>
      <x:c r="K18" s="5" t="n">
        <x:v>4.355</x:v>
      </x:c>
      <x:c r="L18" s="6" t="n">
        <x:v>2</x:v>
      </x:c>
      <x:c r="M18" s="6" t="n">
        <x:v>2</x:v>
      </x:c>
      <x:c r="N18" s="6" t="n">
        <x:v>0</x:v>
      </x:c>
      <x:c r="O18" s="6" t="n">
        <x:v>0</x:v>
      </x:c>
      <x:c r="P18" s="6" t="n">
        <x:v>0</x:v>
      </x:c>
      <x:c r="Q18" s="3" t="str">
        <x:v>0手目の先手番</x:v>
      </x:c>
      <x:c r="R18" s="3" t="str">
        <x:v>AI応手後の2手目と棋譜</x:v>
      </x:c>
      <x:c r="S18" s="3" t="str">
        <x:v>対局カードから盤へ戻り、着手後に棋譜へ移動するため上下2回</x:v>
      </x:c>
      <x:c r="T18" s="3" t="str">
        <x:v>docs/ux/mode-separation/evidence/PROTOTYPE-001/mobile-B-sheet-analysis.png</x:v>
      </x:c>
      <x:c r="U18" s="3"/>
      <x:c r="V18" s="3" t="str">
        <x:v>正解経路を既知・経過時間はComputer Use待機を含む・人間の発見性は未評価・低忠実度プロトタイプ</x:v>
      </x:c>
    </x:row>
    <x:row r="19" ht="42" customHeight="1">
      <x:c r="A19" s="3" t="str">
        <x:v>PROTOTYPE-001</x:v>
      </x:c>
      <x:c r="B19" s="3" t="str">
        <x:v>Computer Use benchmark</x:v>
      </x:c>
      <x:c r="C19" s="3" t="str">
        <x:v>UX-03</x:v>
      </x:c>
      <x:c r="D19" s="3" t="str">
        <x:v>B</x:v>
      </x:c>
      <x:c r="E19" s="3" t="str">
        <x:v>ENV-02 Narrow</x:v>
      </x:c>
      <x:c r="F19" s="3" t="str">
        <x:v>400x625</x:v>
      </x:c>
      <x:c r="G19" s="4" t="str">
        <x:v>2026-07-21</x:v>
      </x:c>
      <x:c r="H19" s="3" t="str">
        <x:v>Codex Computer Use</x:v>
      </x:c>
      <x:c r="I19" s="3" t="str">
        <x:v>Single-call scripted visual benchmark</x:v>
      </x:c>
      <x:c r="J19" s="3" t="str">
        <x:v>Pass</x:v>
      </x:c>
      <x:c r="K19" s="5" t="n">
        <x:v>2.8</x:v>
      </x:c>
      <x:c r="L19" s="6" t="n">
        <x:v>2</x:v>
      </x:c>
      <x:c r="M19" s="6" t="n">
        <x:v>0</x:v>
      </x:c>
      <x:c r="N19" s="6" t="n">
        <x:v>0</x:v>
      </x:c>
      <x:c r="O19" s="6" t="n">
        <x:v>0</x:v>
      </x:c>
      <x:c r="P19" s="6" t="n">
        <x:v>0</x:v>
      </x:c>
      <x:c r="Q19" s="3" t="str">
        <x:v>2手目の最終局面</x:v>
      </x:c>
      <x:c r="R19" s="3" t="str">
        <x:v>現在局面の最善手と評価グラフ</x:v>
      </x:c>
      <x:c r="S19" s="3" t="str">
        <x:v>固定ドックからシートを開き、スクロールなしで解析開始と結果確認</x:v>
      </x:c>
      <x:c r="T19" s="3" t="str">
        <x:v>docs/ux/mode-separation/evidence/PROTOTYPE-001/mobile-B-sheet-analysis.png</x:v>
      </x:c>
      <x:c r="U19" s="3"/>
      <x:c r="V19" s="3" t="str">
        <x:v>正解経路を既知・経過時間はComputer Use待機を含む・人間の発見性は未評価・低忠実度プロトタイプ</x:v>
      </x:c>
    </x:row>
    <x:row r="20" ht="42" customHeight="1">
      <x:c r="A20" s="3" t="str">
        <x:v>PROTOTYPE-001</x:v>
      </x:c>
      <x:c r="B20" s="3" t="str">
        <x:v>Computer Use benchmark</x:v>
      </x:c>
      <x:c r="C20" s="3" t="str">
        <x:v>UX-04</x:v>
      </x:c>
      <x:c r="D20" s="3" t="str">
        <x:v>B</x:v>
      </x:c>
      <x:c r="E20" s="3" t="str">
        <x:v>ENV-02 Narrow</x:v>
      </x:c>
      <x:c r="F20" s="3" t="str">
        <x:v>400x625</x:v>
      </x:c>
      <x:c r="G20" s="4" t="str">
        <x:v>2026-07-21</x:v>
      </x:c>
      <x:c r="H20" s="3" t="str">
        <x:v>Codex Computer Use</x:v>
      </x:c>
      <x:c r="I20" s="3" t="str">
        <x:v>Single-call scripted visual benchmark</x:v>
      </x:c>
      <x:c r="J20" s="3" t="str">
        <x:v>Pass</x:v>
      </x:c>
      <x:c r="K20" s="5" t="n">
        <x:v>7.651</x:v>
      </x:c>
      <x:c r="L20" s="6" t="n">
        <x:v>5</x:v>
      </x:c>
      <x:c r="M20" s="6" t="n">
        <x:v>1</x:v>
      </x:c>
      <x:c r="N20" s="6" t="n">
        <x:v>0</x:v>
      </x:c>
      <x:c r="O20" s="6" t="n">
        <x:v>0</x:v>
      </x:c>
      <x:c r="P20" s="6" t="n">
        <x:v>0</x:v>
      </x:c>
      <x:c r="Q20" s="3" t="str">
        <x:v>初期局面</x:v>
      </x:c>
      <x:c r="R20" s="3" t="str">
        <x:v>5手KIFの3手目と解析結果</x:v>
      </x:c>
      <x:c r="S20" s="3" t="str">
        <x:v>KIF操作領域へ1回移動後、固定ドックとシート内で3手目を解析</x:v>
      </x:c>
      <x:c r="T20" s="3" t="str">
        <x:v>docs/ux/mode-separation/evidence/PROTOTYPE-001/mobile-B-sheet-analysis.png</x:v>
      </x:c>
      <x:c r="U20" s="3"/>
      <x:c r="V20" s="3" t="str">
        <x:v>正解経路を既知・経過時間はComputer Use待機を含む・人間の発見性は未評価・低忠実度プロトタイプ</x:v>
      </x:c>
    </x:row>
    <x:row r="21" ht="42" customHeight="1">
      <x:c r="A21" s="3" t="str">
        <x:v>PROTOTYPE-001</x:v>
      </x:c>
      <x:c r="B21" s="3" t="str">
        <x:v>Computer Use benchmark</x:v>
      </x:c>
      <x:c r="C21" s="3" t="str">
        <x:v>UX-05</x:v>
      </x:c>
      <x:c r="D21" s="3" t="str">
        <x:v>B</x:v>
      </x:c>
      <x:c r="E21" s="3" t="str">
        <x:v>ENV-02 Narrow</x:v>
      </x:c>
      <x:c r="F21" s="3" t="str">
        <x:v>400x625</x:v>
      </x:c>
      <x:c r="G21" s="4" t="str">
        <x:v>2026-07-21</x:v>
      </x:c>
      <x:c r="H21" s="3" t="str">
        <x:v>Codex Computer Use</x:v>
      </x:c>
      <x:c r="I21" s="3" t="str">
        <x:v>Single-call scripted visual benchmark</x:v>
      </x:c>
      <x:c r="J21" s="3" t="str">
        <x:v>Pass</x:v>
      </x:c>
      <x:c r="K21" s="5" t="n">
        <x:v>3.53</x:v>
      </x:c>
      <x:c r="L21" s="6" t="n">
        <x:v>2</x:v>
      </x:c>
      <x:c r="M21" s="6" t="n">
        <x:v>1</x:v>
      </x:c>
      <x:c r="N21" s="6" t="n">
        <x:v>0</x:v>
      </x:c>
      <x:c r="O21" s="6" t="n">
        <x:v>0</x:v>
      </x:c>
      <x:c r="P21" s="6" t="n">
        <x:v>0</x:v>
      </x:c>
      <x:c r="Q21" s="3" t="str">
        <x:v>解析済み5手KIFの3手目</x:v>
      </x:c>
      <x:c r="R21" s="3" t="str">
        <x:v>URL共有完了</x:v>
      </x:c>
      <x:c r="S21" s="3" t="str">
        <x:v>シートを閉じ、棋譜末尾の保存・共有へ1回下方向スクロール</x:v>
      </x:c>
      <x:c r="T21" s="3" t="str">
        <x:v>docs/ux/mode-separation/evidence/PROTOTYPE-001/mobile-B-sheet-analysis.png</x:v>
      </x:c>
      <x:c r="U21" s="3"/>
      <x:c r="V21" s="3" t="str">
        <x:v>正解経路を既知・経過時間はComputer Use待機を含む・人間の発見性は未評価・低忠実度プロトタイプ</x:v>
      </x:c>
    </x:row>
    <x:row r="22" ht="42" customHeight="1">
      <x:c r="A22" s="3" t="str">
        <x:v>PROTOTYPE-001</x:v>
      </x:c>
      <x:c r="B22" s="3" t="str">
        <x:v>Computer Use benchmark</x:v>
      </x:c>
      <x:c r="C22" s="3" t="str">
        <x:v>UX-01</x:v>
      </x:c>
      <x:c r="D22" s="3" t="str">
        <x:v>D</x:v>
      </x:c>
      <x:c r="E22" s="3" t="str">
        <x:v>ENV-01 Desktop</x:v>
      </x:c>
      <x:c r="F22" s="3" t="str">
        <x:v>Desktop Chrome</x:v>
      </x:c>
      <x:c r="G22" s="4" t="str">
        <x:v>2026-07-21</x:v>
      </x:c>
      <x:c r="H22" s="3" t="str">
        <x:v>Codex Computer Use</x:v>
      </x:c>
      <x:c r="I22" s="3" t="str">
        <x:v>Single-call scripted visual benchmark</x:v>
      </x:c>
      <x:c r="J22" s="3" t="str">
        <x:v>Pass</x:v>
      </x:c>
      <x:c r="K22" s="5" t="n">
        <x:v>0.808</x:v>
      </x:c>
      <x:c r="L22" s="6" t="n">
        <x:v>1</x:v>
      </x:c>
      <x:c r="M22" s="6" t="n">
        <x:v>0</x:v>
      </x:c>
      <x:c r="N22" s="6" t="n">
        <x:v>0</x:v>
      </x:c>
      <x:c r="O22" s="6" t="n">
        <x:v>0</x:v>
      </x:c>
      <x:c r="P22" s="6" t="n">
        <x:v>0</x:v>
      </x:c>
      <x:c r="Q22" s="3" t="str">
        <x:v>初期局面・対局開始前</x:v>
      </x:c>
      <x:c r="R22" s="3" t="str">
        <x:v>0手目の先手番</x:v>
      </x:c>
      <x:c r="S22" s="3" t="str">
        <x:v>次にすることカードの単一CTAから開始</x:v>
      </x:c>
      <x:c r="T22" s="3" t="str">
        <x:v>docs/ux/mode-separation/evidence/PROTOTYPE-001/desktop-D-hierarchy-analysis.png</x:v>
      </x:c>
      <x:c r="U22" s="3"/>
      <x:c r="V22" s="3" t="str">
        <x:v>正解経路を既知・経過時間はComputer Use待機を含む・人間の発見性は未評価・低忠実度プロトタイプ</x:v>
      </x:c>
    </x:row>
    <x:row r="23" ht="42" customHeight="1">
      <x:c r="A23" s="3" t="str">
        <x:v>PROTOTYPE-001</x:v>
      </x:c>
      <x:c r="B23" s="3" t="str">
        <x:v>Computer Use benchmark</x:v>
      </x:c>
      <x:c r="C23" s="3" t="str">
        <x:v>UX-02</x:v>
      </x:c>
      <x:c r="D23" s="3" t="str">
        <x:v>D</x:v>
      </x:c>
      <x:c r="E23" s="3" t="str">
        <x:v>ENV-01 Desktop</x:v>
      </x:c>
      <x:c r="F23" s="3" t="str">
        <x:v>Desktop Chrome</x:v>
      </x:c>
      <x:c r="G23" s="4" t="str">
        <x:v>2026-07-21</x:v>
      </x:c>
      <x:c r="H23" s="3" t="str">
        <x:v>Codex Computer Use</x:v>
      </x:c>
      <x:c r="I23" s="3" t="str">
        <x:v>Single-call scripted visual benchmark</x:v>
      </x:c>
      <x:c r="J23" s="3" t="str">
        <x:v>Pass</x:v>
      </x:c>
      <x:c r="K23" s="5" t="n">
        <x:v>1.483</x:v>
      </x:c>
      <x:c r="L23" s="6" t="n">
        <x:v>2</x:v>
      </x:c>
      <x:c r="M23" s="6" t="n">
        <x:v>0</x:v>
      </x:c>
      <x:c r="N23" s="6" t="n">
        <x:v>0</x:v>
      </x:c>
      <x:c r="O23" s="6" t="n">
        <x:v>0</x:v>
      </x:c>
      <x:c r="P23" s="6" t="n">
        <x:v>0</x:v>
      </x:c>
      <x:c r="Q23" s="3" t="str">
        <x:v>0手目の先手番</x:v>
      </x:c>
      <x:c r="R23" s="3" t="str">
        <x:v>AI応手後の2手目と棋譜</x:v>
      </x:c>
      <x:c r="S23" s="3" t="str">
        <x:v>盤で着手すると文脈CTAが解析へ更新され、棋譜にもAI応手を反映</x:v>
      </x:c>
      <x:c r="T23" s="3" t="str">
        <x:v>docs/ux/mode-separation/evidence/PROTOTYPE-001/desktop-D-hierarchy-analysis.png</x:v>
      </x:c>
      <x:c r="U23" s="3"/>
      <x:c r="V23" s="3" t="str">
        <x:v>正解経路を既知・経過時間はComputer Use待機を含む・人間の発見性は未評価・低忠実度プロトタイプ</x:v>
      </x:c>
    </x:row>
    <x:row r="24" ht="42" customHeight="1">
      <x:c r="A24" s="3" t="str">
        <x:v>PROTOTYPE-001</x:v>
      </x:c>
      <x:c r="B24" s="3" t="str">
        <x:v>Computer Use benchmark</x:v>
      </x:c>
      <x:c r="C24" s="3" t="str">
        <x:v>UX-03</x:v>
      </x:c>
      <x:c r="D24" s="3" t="str">
        <x:v>D</x:v>
      </x:c>
      <x:c r="E24" s="3" t="str">
        <x:v>ENV-01 Desktop</x:v>
      </x:c>
      <x:c r="F24" s="3" t="str">
        <x:v>Desktop Chrome</x:v>
      </x:c>
      <x:c r="G24" s="4" t="str">
        <x:v>2026-07-21</x:v>
      </x:c>
      <x:c r="H24" s="3" t="str">
        <x:v>Codex Computer Use</x:v>
      </x:c>
      <x:c r="I24" s="3" t="str">
        <x:v>Single-call scripted visual benchmark</x:v>
      </x:c>
      <x:c r="J24" s="3" t="str">
        <x:v>Pass</x:v>
      </x:c>
      <x:c r="K24" s="5" t="n">
        <x:v>0.801</x:v>
      </x:c>
      <x:c r="L24" s="6" t="n">
        <x:v>1</x:v>
      </x:c>
      <x:c r="M24" s="6" t="n">
        <x:v>0</x:v>
      </x:c>
      <x:c r="N24" s="6" t="n">
        <x:v>0</x:v>
      </x:c>
      <x:c r="O24" s="6" t="n">
        <x:v>0</x:v>
      </x:c>
      <x:c r="P24" s="6" t="n">
        <x:v>0</x:v>
      </x:c>
      <x:c r="Q24" s="3" t="str">
        <x:v>2手目の最終局面</x:v>
      </x:c>
      <x:c r="R24" s="3" t="str">
        <x:v>現在局面の最善手と評価グラフ</x:v>
      </x:c>
      <x:c r="S24" s="3" t="str">
        <x:v>情報階層の先頭にある文脈CTAから1操作で解析</x:v>
      </x:c>
      <x:c r="T24" s="3" t="str">
        <x:v>docs/ux/mode-separation/evidence/PROTOTYPE-001/desktop-D-hierarchy-analysis.png</x:v>
      </x:c>
      <x:c r="U24" s="3"/>
      <x:c r="V24" s="3" t="str">
        <x:v>正解経路を既知・経過時間はComputer Use待機を含む・人間の発見性は未評価・低忠実度プロトタイプ</x:v>
      </x:c>
    </x:row>
    <x:row r="25" ht="42" customHeight="1">
      <x:c r="A25" s="3" t="str">
        <x:v>PROTOTYPE-001</x:v>
      </x:c>
      <x:c r="B25" s="3" t="str">
        <x:v>Computer Use benchmark</x:v>
      </x:c>
      <x:c r="C25" s="3" t="str">
        <x:v>UX-04</x:v>
      </x:c>
      <x:c r="D25" s="3" t="str">
        <x:v>D</x:v>
      </x:c>
      <x:c r="E25" s="3" t="str">
        <x:v>ENV-01 Desktop</x:v>
      </x:c>
      <x:c r="F25" s="3" t="str">
        <x:v>Desktop Chrome</x:v>
      </x:c>
      <x:c r="G25" s="4" t="str">
        <x:v>2026-07-21</x:v>
      </x:c>
      <x:c r="H25" s="3" t="str">
        <x:v>Codex Computer Use</x:v>
      </x:c>
      <x:c r="I25" s="3" t="str">
        <x:v>Single-call scripted visual benchmark</x:v>
      </x:c>
      <x:c r="J25" s="3" t="str">
        <x:v>Pass</x:v>
      </x:c>
      <x:c r="K25" s="5" t="n">
        <x:v>2.441</x:v>
      </x:c>
      <x:c r="L25" s="6" t="n">
        <x:v>4</x:v>
      </x:c>
      <x:c r="M25" s="6" t="n">
        <x:v>0</x:v>
      </x:c>
      <x:c r="N25" s="6" t="n">
        <x:v>0</x:v>
      </x:c>
      <x:c r="O25" s="6" t="n">
        <x:v>0</x:v>
      </x:c>
      <x:c r="P25" s="6" t="n">
        <x:v>0</x:v>
      </x:c>
      <x:c r="Q25" s="3" t="str">
        <x:v>初期局面</x:v>
      </x:c>
      <x:c r="R25" s="3" t="str">
        <x:v>5手KIFの3手目と解析結果</x:v>
      </x:c>
      <x:c r="S25" s="3" t="str">
        <x:v>KIF読込後、開いた棋譜で3手目を選び文脈CTAから解析</x:v>
      </x:c>
      <x:c r="T25" s="3" t="str">
        <x:v>docs/ux/mode-separation/evidence/PROTOTYPE-001/desktop-D-hierarchy-analysis.png</x:v>
      </x:c>
      <x:c r="U25" s="3"/>
      <x:c r="V25" s="3" t="str">
        <x:v>正解経路を既知・経過時間はComputer Use待機を含む・人間の発見性は未評価・低忠実度プロトタイプ</x:v>
      </x:c>
    </x:row>
    <x:row r="26" ht="42" customHeight="1">
      <x:c r="A26" s="3" t="str">
        <x:v>PROTOTYPE-001</x:v>
      </x:c>
      <x:c r="B26" s="3" t="str">
        <x:v>Computer Use benchmark</x:v>
      </x:c>
      <x:c r="C26" s="3" t="str">
        <x:v>UX-05</x:v>
      </x:c>
      <x:c r="D26" s="3" t="str">
        <x:v>D</x:v>
      </x:c>
      <x:c r="E26" s="3" t="str">
        <x:v>ENV-01 Desktop</x:v>
      </x:c>
      <x:c r="F26" s="3" t="str">
        <x:v>Desktop Chrome</x:v>
      </x:c>
      <x:c r="G26" s="4" t="str">
        <x:v>2026-07-21</x:v>
      </x:c>
      <x:c r="H26" s="3" t="str">
        <x:v>Codex Computer Use</x:v>
      </x:c>
      <x:c r="I26" s="3" t="str">
        <x:v>Single-call scripted visual benchmark</x:v>
      </x:c>
      <x:c r="J26" s="3" t="str">
        <x:v>Pass</x:v>
      </x:c>
      <x:c r="K26" s="5" t="n">
        <x:v>0.804</x:v>
      </x:c>
      <x:c r="L26" s="6" t="n">
        <x:v>1</x:v>
      </x:c>
      <x:c r="M26" s="6" t="n">
        <x:v>0</x:v>
      </x:c>
      <x:c r="N26" s="6" t="n">
        <x:v>0</x:v>
      </x:c>
      <x:c r="O26" s="6" t="n">
        <x:v>0</x:v>
      </x:c>
      <x:c r="P26" s="6" t="n">
        <x:v>0</x:v>
      </x:c>
      <x:c r="Q26" s="3" t="str">
        <x:v>解析済み5手KIFの3手目</x:v>
      </x:c>
      <x:c r="R26" s="3" t="str">
        <x:v>URL共有完了</x:v>
      </x:c>
      <x:c r="S26" s="3" t="str">
        <x:v>解析完了後の主要CTAがURL共有へ変化。KIF保存は展開済み棋譜内に保持</x:v>
      </x:c>
      <x:c r="T26" s="3" t="str">
        <x:v>docs/ux/mode-separation/evidence/PROTOTYPE-001/desktop-D-hierarchy-analysis.png</x:v>
      </x:c>
      <x:c r="U26" s="3"/>
      <x:c r="V26" s="3" t="str">
        <x:v>正解経路を既知・経過時間はComputer Use待機を含む・人間の発見性は未評価・低忠実度プロトタイプ</x:v>
      </x:c>
    </x:row>
    <x:row r="27" ht="42" customHeight="1">
      <x:c r="A27" s="3" t="str">
        <x:v>PROTOTYPE-001</x:v>
      </x:c>
      <x:c r="B27" s="3" t="str">
        <x:v>Computer Use benchmark</x:v>
      </x:c>
      <x:c r="C27" s="3" t="str">
        <x:v>UX-01</x:v>
      </x:c>
      <x:c r="D27" s="3" t="str">
        <x:v>D</x:v>
      </x:c>
      <x:c r="E27" s="3" t="str">
        <x:v>ENV-02 Narrow</x:v>
      </x:c>
      <x:c r="F27" s="3" t="str">
        <x:v>400x625</x:v>
      </x:c>
      <x:c r="G27" s="4" t="str">
        <x:v>2026-07-21</x:v>
      </x:c>
      <x:c r="H27" s="3" t="str">
        <x:v>Codex Computer Use</x:v>
      </x:c>
      <x:c r="I27" s="3" t="str">
        <x:v>Single-call scripted visual benchmark</x:v>
      </x:c>
      <x:c r="J27" s="3" t="str">
        <x:v>Pass</x:v>
      </x:c>
      <x:c r="K27" s="5" t="n">
        <x:v>1.896</x:v>
      </x:c>
      <x:c r="L27" s="6" t="n">
        <x:v>1</x:v>
      </x:c>
      <x:c r="M27" s="6" t="n">
        <x:v>0</x:v>
      </x:c>
      <x:c r="N27" s="6" t="n">
        <x:v>0</x:v>
      </x:c>
      <x:c r="O27" s="6" t="n">
        <x:v>0</x:v>
      </x:c>
      <x:c r="P27" s="6" t="n">
        <x:v>0</x:v>
      </x:c>
      <x:c r="Q27" s="3" t="str">
        <x:v>初期局面・対局開始前</x:v>
      </x:c>
      <x:c r="R27" s="3" t="str">
        <x:v>0手目の先手番</x:v>
      </x:c>
      <x:c r="S27" s="3" t="str">
        <x:v>固定ドックの文脈CTAからスクロールなしで開始</x:v>
      </x:c>
      <x:c r="T27" s="3" t="str">
        <x:v>docs/ux/mode-separation/evidence/PROTOTYPE-001/mobile-D-analysis.png</x:v>
      </x:c>
      <x:c r="U27" s="3"/>
      <x:c r="V27" s="3" t="str">
        <x:v>正解経路を既知・経過時間はComputer Use待機を含む・人間の発見性は未評価・低忠実度プロトタイプ</x:v>
      </x:c>
    </x:row>
    <x:row r="28" ht="42" customHeight="1">
      <x:c r="A28" s="3" t="str">
        <x:v>PROTOTYPE-001</x:v>
      </x:c>
      <x:c r="B28" s="3" t="str">
        <x:v>Computer Use benchmark</x:v>
      </x:c>
      <x:c r="C28" s="3" t="str">
        <x:v>UX-02</x:v>
      </x:c>
      <x:c r="D28" s="3" t="str">
        <x:v>D</x:v>
      </x:c>
      <x:c r="E28" s="3" t="str">
        <x:v>ENV-02 Narrow</x:v>
      </x:c>
      <x:c r="F28" s="3" t="str">
        <x:v>400x625</x:v>
      </x:c>
      <x:c r="G28" s="4" t="str">
        <x:v>2026-07-21</x:v>
      </x:c>
      <x:c r="H28" s="3" t="str">
        <x:v>Codex Computer Use</x:v>
      </x:c>
      <x:c r="I28" s="3" t="str">
        <x:v>Single-call scripted visual benchmark</x:v>
      </x:c>
      <x:c r="J28" s="3" t="str">
        <x:v>Pass</x:v>
      </x:c>
      <x:c r="K28" s="5" t="n">
        <x:v>3.07</x:v>
      </x:c>
      <x:c r="L28" s="6" t="n">
        <x:v>2</x:v>
      </x:c>
      <x:c r="M28" s="6" t="n">
        <x:v>1</x:v>
      </x:c>
      <x:c r="N28" s="6" t="n">
        <x:v>0</x:v>
      </x:c>
      <x:c r="O28" s="6" t="n">
        <x:v>0</x:v>
      </x:c>
      <x:c r="P28" s="6" t="n">
        <x:v>0</x:v>
      </x:c>
      <x:c r="Q28" s="3" t="str">
        <x:v>0手目の先手番</x:v>
      </x:c>
      <x:c r="R28" s="3" t="str">
        <x:v>AI応手後の2手目と棋譜</x:v>
      </x:c>
      <x:c r="S28" s="3" t="str">
        <x:v>盤上の着手後、展開済み棋譜の確認へ1回下方向スクロール</x:v>
      </x:c>
      <x:c r="T28" s="3" t="str">
        <x:v>docs/ux/mode-separation/evidence/PROTOTYPE-001/mobile-D-analysis.png</x:v>
      </x:c>
      <x:c r="U28" s="3"/>
      <x:c r="V28" s="3" t="str">
        <x:v>正解経路を既知・経過時間はComputer Use待機を含む・人間の発見性は未評価・低忠実度プロトタイプ</x:v>
      </x:c>
    </x:row>
    <x:row r="29" ht="42" customHeight="1">
      <x:c r="A29" s="3" t="str">
        <x:v>PROTOTYPE-001</x:v>
      </x:c>
      <x:c r="B29" s="3" t="str">
        <x:v>Computer Use benchmark</x:v>
      </x:c>
      <x:c r="C29" s="3" t="str">
        <x:v>UX-03</x:v>
      </x:c>
      <x:c r="D29" s="3" t="str">
        <x:v>D</x:v>
      </x:c>
      <x:c r="E29" s="3" t="str">
        <x:v>ENV-02 Narrow</x:v>
      </x:c>
      <x:c r="F29" s="3" t="str">
        <x:v>400x625</x:v>
      </x:c>
      <x:c r="G29" s="4" t="str">
        <x:v>2026-07-21</x:v>
      </x:c>
      <x:c r="H29" s="3" t="str">
        <x:v>Codex Computer Use</x:v>
      </x:c>
      <x:c r="I29" s="3" t="str">
        <x:v>Single-call scripted visual benchmark</x:v>
      </x:c>
      <x:c r="J29" s="3" t="str">
        <x:v>Pass</x:v>
      </x:c>
      <x:c r="K29" s="5" t="n">
        <x:v>3.158</x:v>
      </x:c>
      <x:c r="L29" s="6" t="n">
        <x:v>1</x:v>
      </x:c>
      <x:c r="M29" s="6" t="n">
        <x:v>1</x:v>
      </x:c>
      <x:c r="N29" s="6" t="n">
        <x:v>0</x:v>
      </x:c>
      <x:c r="O29" s="6" t="n">
        <x:v>0</x:v>
      </x:c>
      <x:c r="P29" s="6" t="n">
        <x:v>0</x:v>
      </x:c>
      <x:c r="Q29" s="3" t="str">
        <x:v>2手目の最終局面</x:v>
      </x:c>
      <x:c r="R29" s="3" t="str">
        <x:v>現在局面の最善手と評価グラフ</x:v>
      </x:c>
      <x:c r="S29" s="3" t="str">
        <x:v>固定ドックから1操作で解析し、挿入された結果へ1回上方向スクロール</x:v>
      </x:c>
      <x:c r="T29" s="3" t="str">
        <x:v>docs/ux/mode-separation/evidence/PROTOTYPE-001/mobile-D-analysis.png</x:v>
      </x:c>
      <x:c r="U29" s="3"/>
      <x:c r="V29" s="3" t="str">
        <x:v>正解経路を既知・経過時間はComputer Use待機を含む・人間の発見性は未評価・低忠実度プロトタイプ</x:v>
      </x:c>
    </x:row>
    <x:row r="30" ht="42" customHeight="1">
      <x:c r="A30" s="3" t="str">
        <x:v>PROTOTYPE-001</x:v>
      </x:c>
      <x:c r="B30" s="3" t="str">
        <x:v>Computer Use benchmark</x:v>
      </x:c>
      <x:c r="C30" s="3" t="str">
        <x:v>UX-04</x:v>
      </x:c>
      <x:c r="D30" s="3" t="str">
        <x:v>D</x:v>
      </x:c>
      <x:c r="E30" s="3" t="str">
        <x:v>ENV-02 Narrow</x:v>
      </x:c>
      <x:c r="F30" s="3" t="str">
        <x:v>400x625</x:v>
      </x:c>
      <x:c r="G30" s="4" t="str">
        <x:v>2026-07-21</x:v>
      </x:c>
      <x:c r="H30" s="3" t="str">
        <x:v>Codex Computer Use</x:v>
      </x:c>
      <x:c r="I30" s="3" t="str">
        <x:v>Single-call scripted visual benchmark</x:v>
      </x:c>
      <x:c r="J30" s="3" t="str">
        <x:v>Pass</x:v>
      </x:c>
      <x:c r="K30" s="5" t="n">
        <x:v>6.681</x:v>
      </x:c>
      <x:c r="L30" s="6" t="n">
        <x:v>4</x:v>
      </x:c>
      <x:c r="M30" s="6" t="n">
        <x:v>1</x:v>
      </x:c>
      <x:c r="N30" s="6" t="n">
        <x:v>0</x:v>
      </x:c>
      <x:c r="O30" s="6" t="n">
        <x:v>0</x:v>
      </x:c>
      <x:c r="P30" s="6" t="n">
        <x:v>0</x:v>
      </x:c>
      <x:c r="Q30" s="3" t="str">
        <x:v>初期局面</x:v>
      </x:c>
      <x:c r="R30" s="3" t="str">
        <x:v>5手KIFの3手目と解析結果</x:v>
      </x:c>
      <x:c r="S30" s="3" t="str">
        <x:v>KIF操作領域へ1回移動後、文脈CTAから3手目を解析</x:v>
      </x:c>
      <x:c r="T30" s="3" t="str">
        <x:v>docs/ux/mode-separation/evidence/PROTOTYPE-001/mobile-D-analysis.png</x:v>
      </x:c>
      <x:c r="U30" s="3"/>
      <x:c r="V30" s="3" t="str">
        <x:v>正解経路を既知・経過時間はComputer Use待機を含む・人間の発見性は未評価・低忠実度プロトタイプ</x:v>
      </x:c>
    </x:row>
    <x:row r="31" ht="42" customHeight="1">
      <x:c r="A31" s="3" t="str">
        <x:v>PROTOTYPE-001</x:v>
      </x:c>
      <x:c r="B31" s="3" t="str">
        <x:v>Computer Use benchmark</x:v>
      </x:c>
      <x:c r="C31" s="3" t="str">
        <x:v>UX-05</x:v>
      </x:c>
      <x:c r="D31" s="3" t="str">
        <x:v>D</x:v>
      </x:c>
      <x:c r="E31" s="3" t="str">
        <x:v>ENV-02 Narrow</x:v>
      </x:c>
      <x:c r="F31" s="3" t="str">
        <x:v>400x625</x:v>
      </x:c>
      <x:c r="G31" s="4" t="str">
        <x:v>2026-07-21</x:v>
      </x:c>
      <x:c r="H31" s="3" t="str">
        <x:v>Codex Computer Use</x:v>
      </x:c>
      <x:c r="I31" s="3" t="str">
        <x:v>Single-call scripted visual benchmark</x:v>
      </x:c>
      <x:c r="J31" s="3" t="str">
        <x:v>Pass</x:v>
      </x:c>
      <x:c r="K31" s="5" t="n">
        <x:v>2.896</x:v>
      </x:c>
      <x:c r="L31" s="6" t="n">
        <x:v>1</x:v>
      </x:c>
      <x:c r="M31" s="6" t="n">
        <x:v>1</x:v>
      </x:c>
      <x:c r="N31" s="6" t="n">
        <x:v>0</x:v>
      </x:c>
      <x:c r="O31" s="6" t="n">
        <x:v>0</x:v>
      </x:c>
      <x:c r="P31" s="6" t="n">
        <x:v>0</x:v>
      </x:c>
      <x:c r="Q31" s="3" t="str">
        <x:v>解析済み5手KIFの3手目</x:v>
      </x:c>
      <x:c r="R31" s="3" t="str">
        <x:v>URL共有完了</x:v>
      </x:c>
      <x:c r="S31" s="3" t="str">
        <x:v>棋譜内のKIF保存を確認し、固定ドックのURL共有を実行</x:v>
      </x:c>
      <x:c r="T31" s="3" t="str">
        <x:v>docs/ux/mode-separation/evidence/PROTOTYPE-001/mobile-D-analysis.png</x:v>
      </x:c>
      <x:c r="U31" s="3"/>
      <x:c r="V31" s="3" t="str">
        <x:v>正解経路を既知・経過時間はComputer Use待機を含む・人間の発見性は未評価・低忠実度プロトタイプ</x:v>
      </x:c>
    </x:row>
  </x:sheetData>
  <x:conditionalFormatting sqref="J2:J31">
    <x:cfRule type="containsText" dxfId="1" priority="1" operator="containsText" text="Pass"/>
  </x:conditionalFormatting>
  <x:pageMargins left="0.7" right="0.7" top="0.75" bottom="0.75" header="0.3" footer="0.3"/>
  <x:tableParts count="1">
    <x:tablePart xmlns:r="http://schemas.openxmlformats.org/officeDocument/2006/relationships" r:id="R4726e2d48a0a48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4" hidden="0" customWidth="1"/>
    <x:col min="4" max="4" width="16" hidden="0" customWidth="1"/>
    <x:col min="5" max="5" width="16" hidden="0" customWidth="1"/>
    <x:col min="6" max="6" width="18" hidden="0" customWidth="1"/>
  </x:cols>
  <x:sheetData>
    <x:row r="1" ht="36" customHeight="1">
      <x:c r="A1" s="9" t="str">
        <x:v>対局／解析 情報分離 Discovery Tracker</x:v>
      </x:c>
      <x:c r="B1" s="9"/>
      <x:c r="C1" s="9"/>
      <x:c r="D1" s="9"/>
      <x:c r="E1" s="9"/>
      <x:c r="F1" s="9"/>
    </x:row>
    <x:row r="3" ht="24" customHeight="1">
      <x:c r="A3" s="33" t="str">
        <x:v>指標</x:v>
      </x:c>
      <x:c r="B3" s="33" t="str">
        <x:v>値</x:v>
      </x:c>
      <x:c r="C3" s="33" t="str">
        <x:v>説明</x:v>
      </x:c>
      <x:c r="D3" s="33"/>
      <x:c r="E3" s="33"/>
      <x:c r="F3" s="33"/>
    </x:row>
    <x:row r="4" ht="24" customHeight="1">
      <x:c r="A4" s="33" t="str">
        <x:v>ベースライン記録数</x:v>
      </x:c>
      <x:c r="B4" s="34" t="n">
        <x:f>COUNTA('Baseline'!A2:A1000)</x:f>
        <x:v>10</x:v>
      </x:c>
      <x:c r="C4" s="33" t="str">
        <x:v>Computer Useと人間テストを含む行数</x:v>
      </x:c>
      <x:c r="D4" s="33"/>
      <x:c r="E4" s="33"/>
      <x:c r="F4" s="33"/>
    </x:row>
    <x:row r="5" ht="24" customHeight="1">
      <x:c r="A5" s="33" t="str">
        <x:v>Desktop 合計スクロール</x:v>
      </x:c>
      <x:c r="B5" s="34" t="n">
        <x:f>SUMIF('Baseline'!E2:E1000,"ENV-01 Desktop",'Baseline'!M2:M1000)</x:f>
        <x:v>3</x:v>
      </x:c>
      <x:c r="C5" s="33" t="str">
        <x:v>現行版5シナリオ</x:v>
      </x:c>
      <x:c r="D5" s="33"/>
      <x:c r="E5" s="33"/>
      <x:c r="F5" s="33"/>
    </x:row>
    <x:row r="6" ht="24" customHeight="1">
      <x:c r="A6" s="33" t="str">
        <x:v>400px 合計スクロール</x:v>
      </x:c>
      <x:c r="B6" s="34" t="n">
        <x:f>SUMIF('Baseline'!E2:E1000,"ENV-02 Narrow",'Baseline'!M2:M1000)</x:f>
        <x:v>7</x:v>
      </x:c>
      <x:c r="C6" s="33" t="str">
        <x:v>現行版5シナリオ</x:v>
      </x:c>
      <x:c r="D6" s="33"/>
      <x:c r="E6" s="33"/>
      <x:c r="F6" s="33"/>
    </x:row>
    <x:row r="7" ht="24" customHeight="1">
      <x:c r="A7" s="33" t="str">
        <x:v>Desktop 自動操作秒</x:v>
      </x:c>
      <x:c r="B7" s="35" t="n">
        <x:f>SUMIF('Baseline'!E2:E1000,"ENV-01 Desktop",'Baseline'!K2:K1000)</x:f>
        <x:v>9.358</x:v>
      </x:c>
      <x:c r="C7" s="33" t="str">
        <x:v>同一方式内の比較専用</x:v>
      </x:c>
      <x:c r="D7" s="33"/>
      <x:c r="E7" s="33"/>
      <x:c r="F7" s="33"/>
    </x:row>
    <x:row r="8" ht="24" customHeight="1">
      <x:c r="A8" s="33" t="str">
        <x:v>400px 自動操作秒</x:v>
      </x:c>
      <x:c r="B8" s="35" t="n">
        <x:f>SUMIF('Baseline'!E2:E1000,"ENV-02 Narrow",'Baseline'!K2:K1000)</x:f>
        <x:v>21.936</x:v>
      </x:c>
      <x:c r="C8" s="33" t="str">
        <x:v>同一方式内の比較専用</x:v>
      </x:c>
      <x:c r="D8" s="33"/>
      <x:c r="E8" s="33"/>
      <x:c r="F8" s="33"/>
    </x:row>
    <x:row r="9" ht="24" customHeight="1">
      <x:c r="A9" s="33" t="str">
        <x:v>初見ユーザーセッション</x:v>
      </x:c>
      <x:c r="B9" s="34" t="n">
        <x:f>COUNTIF('Baseline'!B2:B1000,"Human usability test")+COUNTIF('Prototype Results'!B2:B1000,"Human usability test")</x:f>
        <x:v>0</x:v>
      </x:c>
      <x:c r="C9" s="33" t="str">
        <x:v>目標は最低5セッション</x:v>
      </x:c>
      <x:c r="D9" s="33"/>
      <x:c r="E9" s="33"/>
      <x:c r="F9" s="33"/>
    </x:row>
    <x:row r="10" ht="24" customHeight="1">
      <x:c r="A10" s="33"/>
      <x:c r="B10" s="33"/>
      <x:c r="C10" s="33"/>
      <x:c r="D10" s="33"/>
      <x:c r="E10" s="33"/>
      <x:c r="F10" s="33"/>
    </x:row>
    <x:row r="11" ht="24" customHeight="1">
      <x:c r="A11" s="33" t="str">
        <x:v>案</x:v>
      </x:c>
      <x:c r="B11" s="33" t="str">
        <x:v>環境</x:v>
      </x:c>
      <x:c r="C11" s="33" t="str">
        <x:v>完了</x:v>
      </x:c>
      <x:c r="D11" s="33" t="str">
        <x:v>クリック</x:v>
      </x:c>
      <x:c r="E11" s="33" t="str">
        <x:v>スクロール</x:v>
      </x:c>
      <x:c r="F11" s="33" t="str">
        <x:v>自動操作秒</x:v>
      </x:c>
    </x:row>
    <x:row r="12" ht="24" customHeight="1">
      <x:c r="A12" s="33" t="str">
        <x:v>A</x:v>
      </x:c>
      <x:c r="B12" s="33" t="str">
        <x:v>ENV-01 Desktop</x:v>
      </x:c>
      <x:c r="C12" s="34" t="n">
        <x:f>COUNTIFS('Prototype Results'!$D$2:$D$1000,A12,'Prototype Results'!$E$2:$E$1000,B12,'Prototype Results'!$J$2:$J$1000,"Pass")</x:f>
        <x:v>5</x:v>
      </x:c>
      <x:c r="D12" s="34" t="n">
        <x:f>SUMIFS('Prototype Results'!$L$2:$L$1000,'Prototype Results'!$D$2:$D$1000,A12,'Prototype Results'!$E$2:$E$1000,B12)</x:f>
        <x:v>11</x:v>
      </x:c>
      <x:c r="E12" s="34" t="n">
        <x:f>SUMIFS('Prototype Results'!$M$2:$M$1000,'Prototype Results'!$D$2:$D$1000,A12,'Prototype Results'!$E$2:$E$1000,B12)</x:f>
        <x:v>0</x:v>
      </x:c>
      <x:c r="F12" s="35" t="n">
        <x:f>SUMIFS('Prototype Results'!$K$2:$K$1000,'Prototype Results'!$D$2:$D$1000,A12,'Prototype Results'!$E$2:$E$1000,B12)</x:f>
        <x:v>8.077</x:v>
      </x:c>
    </x:row>
    <x:row r="13" ht="24" customHeight="1">
      <x:c r="A13" s="33" t="str">
        <x:v>B</x:v>
      </x:c>
      <x:c r="B13" s="33" t="str">
        <x:v>ENV-01 Desktop</x:v>
      </x:c>
      <x:c r="C13" s="34" t="n">
        <x:f>COUNTIFS('Prototype Results'!$D$2:$D$1000,A13,'Prototype Results'!$E$2:$E$1000,B13,'Prototype Results'!$J$2:$J$1000,"Pass")</x:f>
        <x:v>5</x:v>
      </x:c>
      <x:c r="D13" s="34" t="n">
        <x:f>SUMIFS('Prototype Results'!$L$2:$L$1000,'Prototype Results'!$D$2:$D$1000,A13,'Prototype Results'!$E$2:$E$1000,B13)</x:f>
        <x:v>12</x:v>
      </x:c>
      <x:c r="E13" s="34" t="n">
        <x:f>SUMIFS('Prototype Results'!$M$2:$M$1000,'Prototype Results'!$D$2:$D$1000,A13,'Prototype Results'!$E$2:$E$1000,B13)</x:f>
        <x:v>0</x:v>
      </x:c>
      <x:c r="F13" s="35" t="n">
        <x:f>SUMIFS('Prototype Results'!$K$2:$K$1000,'Prototype Results'!$D$2:$D$1000,A13,'Prototype Results'!$E$2:$E$1000,B13)</x:f>
        <x:v>7.997000000000001</x:v>
      </x:c>
    </x:row>
    <x:row r="14" ht="24" customHeight="1">
      <x:c r="A14" s="33" t="str">
        <x:v>D</x:v>
      </x:c>
      <x:c r="B14" s="33" t="str">
        <x:v>ENV-01 Desktop</x:v>
      </x:c>
      <x:c r="C14" s="34" t="n">
        <x:f>COUNTIFS('Prototype Results'!$D$2:$D$1000,A14,'Prototype Results'!$E$2:$E$1000,B14,'Prototype Results'!$J$2:$J$1000,"Pass")</x:f>
        <x:v>5</x:v>
      </x:c>
      <x:c r="D14" s="34" t="n">
        <x:f>SUMIFS('Prototype Results'!$L$2:$L$1000,'Prototype Results'!$D$2:$D$1000,A14,'Prototype Results'!$E$2:$E$1000,B14)</x:f>
        <x:v>9</x:v>
      </x:c>
      <x:c r="E14" s="34" t="n">
        <x:f>SUMIFS('Prototype Results'!$M$2:$M$1000,'Prototype Results'!$D$2:$D$1000,A14,'Prototype Results'!$E$2:$E$1000,B14)</x:f>
        <x:v>0</x:v>
      </x:c>
      <x:c r="F14" s="35" t="n">
        <x:f>SUMIFS('Prototype Results'!$K$2:$K$1000,'Prototype Results'!$D$2:$D$1000,A14,'Prototype Results'!$E$2:$E$1000,B14)</x:f>
        <x:v>6.337000000000001</x:v>
      </x:c>
    </x:row>
    <x:row r="15" ht="24" customHeight="1">
      <x:c r="A15" s="33" t="str">
        <x:v>A</x:v>
      </x:c>
      <x:c r="B15" s="33" t="str">
        <x:v>ENV-02 Narrow</x:v>
      </x:c>
      <x:c r="C15" s="34" t="n">
        <x:f>COUNTIFS('Prototype Results'!$D$2:$D$1000,A15,'Prototype Results'!$E$2:$E$1000,B15,'Prototype Results'!$J$2:$J$1000,"Pass")</x:f>
        <x:v>5</x:v>
      </x:c>
      <x:c r="D15" s="34" t="n">
        <x:f>SUMIFS('Prototype Results'!$L$2:$L$1000,'Prototype Results'!$D$2:$D$1000,A15,'Prototype Results'!$E$2:$E$1000,B15)</x:f>
        <x:v>11</x:v>
      </x:c>
      <x:c r="E15" s="34" t="n">
        <x:f>SUMIFS('Prototype Results'!$M$2:$M$1000,'Prototype Results'!$D$2:$D$1000,A15,'Prototype Results'!$E$2:$E$1000,B15)</x:f>
        <x:v>7</x:v>
      </x:c>
      <x:c r="F15" s="35" t="n">
        <x:f>SUMIFS('Prototype Results'!$K$2:$K$1000,'Prototype Results'!$D$2:$D$1000,A15,'Prototype Results'!$E$2:$E$1000,B15)</x:f>
        <x:v>24.962</x:v>
      </x:c>
    </x:row>
    <x:row r="16" ht="24" customHeight="1">
      <x:c r="A16" s="33" t="str">
        <x:v>B</x:v>
      </x:c>
      <x:c r="B16" s="33" t="str">
        <x:v>ENV-02 Narrow</x:v>
      </x:c>
      <x:c r="C16" s="34" t="n">
        <x:f>COUNTIFS('Prototype Results'!$D$2:$D$1000,A16,'Prototype Results'!$E$2:$E$1000,B16,'Prototype Results'!$J$2:$J$1000,"Pass")</x:f>
        <x:v>5</x:v>
      </x:c>
      <x:c r="D16" s="34" t="n">
        <x:f>SUMIFS('Prototype Results'!$L$2:$L$1000,'Prototype Results'!$D$2:$D$1000,A16,'Prototype Results'!$E$2:$E$1000,B16)</x:f>
        <x:v>12</x:v>
      </x:c>
      <x:c r="E16" s="34" t="n">
        <x:f>SUMIFS('Prototype Results'!$M$2:$M$1000,'Prototype Results'!$D$2:$D$1000,A16,'Prototype Results'!$E$2:$E$1000,B16)</x:f>
        <x:v>5</x:v>
      </x:c>
      <x:c r="F16" s="35" t="n">
        <x:f>SUMIFS('Prototype Results'!$K$2:$K$1000,'Prototype Results'!$D$2:$D$1000,A16,'Prototype Results'!$E$2:$E$1000,B16)</x:f>
        <x:v>21.533</x:v>
      </x:c>
    </x:row>
    <x:row r="17" ht="24" customHeight="1">
      <x:c r="A17" s="33" t="str">
        <x:v>D</x:v>
      </x:c>
      <x:c r="B17" s="33" t="str">
        <x:v>ENV-02 Narrow</x:v>
      </x:c>
      <x:c r="C17" s="34" t="n">
        <x:f>COUNTIFS('Prototype Results'!$D$2:$D$1000,A17,'Prototype Results'!$E$2:$E$1000,B17,'Prototype Results'!$J$2:$J$1000,"Pass")</x:f>
        <x:v>5</x:v>
      </x:c>
      <x:c r="D17" s="34" t="n">
        <x:f>SUMIFS('Prototype Results'!$L$2:$L$1000,'Prototype Results'!$D$2:$D$1000,A17,'Prototype Results'!$E$2:$E$1000,B17)</x:f>
        <x:v>9</x:v>
      </x:c>
      <x:c r="E17" s="34" t="n">
        <x:f>SUMIFS('Prototype Results'!$M$2:$M$1000,'Prototype Results'!$D$2:$D$1000,A17,'Prototype Results'!$E$2:$E$1000,B17)</x:f>
        <x:v>4</x:v>
      </x:c>
      <x:c r="F17" s="35" t="n">
        <x:f>SUMIFS('Prototype Results'!$K$2:$K$1000,'Prototype Results'!$D$2:$D$1000,A17,'Prototype Results'!$E$2:$E$1000,B17)</x:f>
        <x:v>17.701</x:v>
      </x:c>
    </x:row>
    <x:row r="18" ht="24" customHeight="1">
      <x:c r="A18" s="33"/>
      <x:c r="B18" s="33"/>
      <x:c r="C18" s="33"/>
      <x:c r="D18" s="33"/>
      <x:c r="E18" s="33"/>
      <x:c r="F18" s="33"/>
    </x:row>
    <x:row r="19" ht="24" customHeight="1">
      <x:c r="A19" s="33"/>
      <x:c r="B19" s="33"/>
      <x:c r="C19" s="33"/>
      <x:c r="D19" s="33"/>
      <x:c r="E19" s="33"/>
      <x:c r="F19" s="33"/>
    </x:row>
    <x:row r="20" ht="24" customHeight="1">
      <x:c r="A20" s="9" t="str">
        <x:v>400px 解析到達スクロール（UX-03 + UX-04）</x:v>
      </x:c>
      <x:c r="B20" s="9"/>
      <x:c r="C20" s="9"/>
      <x:c r="D20" s="9"/>
      <x:c r="E20" s="33"/>
      <x:c r="F20" s="33"/>
    </x:row>
    <x:row r="21" ht="24" customHeight="1">
      <x:c r="A21" s="33" t="str">
        <x:v>案</x:v>
      </x:c>
      <x:c r="B21" s="33" t="str">
        <x:v>スクロール</x:v>
      </x:c>
      <x:c r="C21" s="33" t="str">
        <x:v>BASE比削減</x:v>
      </x:c>
      <x:c r="D21" s="33" t="str">
        <x:v>50%目標</x:v>
      </x:c>
      <x:c r="E21" s="33"/>
      <x:c r="F21" s="33"/>
    </x:row>
    <x:row r="22" ht="24" customHeight="1">
      <x:c r="A22" s="33" t="str">
        <x:v>BASE</x:v>
      </x:c>
      <x:c r="B22" s="34" t="n">
        <x:f>SUMIFS('Baseline'!M2:M1000,'Baseline'!E2:E1000,"ENV-02 Narrow",'Baseline'!C2:C1000,"UX-03")+SUMIFS('Baseline'!M2:M1000,'Baseline'!E2:E1000,"ENV-02 Narrow",'Baseline'!C2:C1000,"UX-04")</x:f>
        <x:v>3</x:v>
      </x:c>
      <x:c r="C22" s="36" t="n">
        <x:v>0</x:v>
      </x:c>
      <x:c r="D22" s="33" t="str">
        <x:v>基準</x:v>
      </x:c>
      <x:c r="E22" s="33"/>
      <x:c r="F22" s="33"/>
    </x:row>
    <x:row r="23" ht="24" customHeight="1">
      <x:c r="A23" s="33" t="str">
        <x:v>A</x:v>
      </x:c>
      <x:c r="B23" s="34" t="n">
        <x:f>SUMIFS('Prototype Results'!$M$2:$M$1000,'Prototype Results'!$D$2:$D$1000,A23,'Prototype Results'!$E$2:$E$1000,"ENV-02 Narrow",'Prototype Results'!$C$2:$C$1000,"UX-03")+SUMIFS('Prototype Results'!$M$2:$M$1000,'Prototype Results'!$D$2:$D$1000,A23,'Prototype Results'!$E$2:$E$1000,"ENV-02 Narrow",'Prototype Results'!$C$2:$C$1000,"UX-04")</x:f>
        <x:v>3</x:v>
      </x:c>
      <x:c r="C23" s="36" t="n">
        <x:f>1-B23/$B$22</x:f>
        <x:v>0</x:v>
      </x:c>
      <x:c r="D23" s="33" t="str">
        <x:f>IF(C23&gt;=0.5,"達成","未達")</x:f>
        <x:v>未達</x:v>
      </x:c>
      <x:c r="E23" s="33"/>
      <x:c r="F23" s="33"/>
    </x:row>
    <x:row r="24" ht="24" customHeight="1">
      <x:c r="A24" s="33" t="str">
        <x:v>B</x:v>
      </x:c>
      <x:c r="B24" s="34" t="n">
        <x:f>SUMIFS('Prototype Results'!$M$2:$M$1000,'Prototype Results'!$D$2:$D$1000,A24,'Prototype Results'!$E$2:$E$1000,"ENV-02 Narrow",'Prototype Results'!$C$2:$C$1000,"UX-03")+SUMIFS('Prototype Results'!$M$2:$M$1000,'Prototype Results'!$D$2:$D$1000,A24,'Prototype Results'!$E$2:$E$1000,"ENV-02 Narrow",'Prototype Results'!$C$2:$C$1000,"UX-04")</x:f>
        <x:v>1</x:v>
      </x:c>
      <x:c r="C24" s="36" t="n">
        <x:f>1-B24/$B$22</x:f>
        <x:v>0.6666666666666667</x:v>
      </x:c>
      <x:c r="D24" s="33" t="str">
        <x:f>IF(C24&gt;=0.5,"達成","未達")</x:f>
        <x:v>達成</x:v>
      </x:c>
      <x:c r="E24" s="33"/>
      <x:c r="F24" s="33"/>
    </x:row>
    <x:row r="25" ht="24" customHeight="1">
      <x:c r="A25" s="33" t="str">
        <x:v>D</x:v>
      </x:c>
      <x:c r="B25" s="34" t="n">
        <x:f>SUMIFS('Prototype Results'!$M$2:$M$1000,'Prototype Results'!$D$2:$D$1000,A25,'Prototype Results'!$E$2:$E$1000,"ENV-02 Narrow",'Prototype Results'!$C$2:$C$1000,"UX-03")+SUMIFS('Prototype Results'!$M$2:$M$1000,'Prototype Results'!$D$2:$D$1000,A25,'Prototype Results'!$E$2:$E$1000,"ENV-02 Narrow",'Prototype Results'!$C$2:$C$1000,"UX-04")</x:f>
        <x:v>2</x:v>
      </x:c>
      <x:c r="C25" s="36" t="n">
        <x:f>1-B25/$B$22</x:f>
        <x:v>0.33333333333333337</x:v>
      </x:c>
      <x:c r="D25" s="33" t="str">
        <x:f>IF(C25&gt;=0.5,"達成","未達")</x:f>
        <x:v>未達</x:v>
      </x:c>
      <x:c r="E25" s="33"/>
      <x:c r="F25" s="33"/>
    </x:row>
    <x:row r="26">
      <x:c r="A26" s="33"/>
      <x:c r="B26" s="33"/>
      <x:c r="C26" s="33"/>
      <x:c r="D26" s="33"/>
      <x:c r="E26" s="33"/>
      <x:c r="F26" s="33"/>
    </x:row>
    <x:row r="27" ht="32" customHeight="1">
      <x:c r="A27" s="24" t="str">
        <x:v>注意: Computer Useの経過秒には自動操作基盤の待機時間が含まれます。人間のタスク時間と直接比較せず、同一方式・同一環境内の相対比較だけに使用してください。初見ユーザーテストは未実施です。</x:v>
      </x:c>
      <x:c r="B27" s="25"/>
      <x:c r="C27" s="25"/>
      <x:c r="D27" s="25"/>
      <x:c r="E27" s="25"/>
      <x:c r="F27" s="26"/>
    </x:row>
    <x:row r="28" ht="32" customHeight="1">
      <x:c r="A28" s="27"/>
      <x:c r="B28" s="28"/>
      <x:c r="C28" s="28"/>
      <x:c r="D28" s="28"/>
      <x:c r="E28" s="28"/>
      <x:c r="F28" s="29"/>
    </x:row>
  </x:sheetData>
  <x:mergeCells>
    <x:mergeCell ref="A1:F1"/>
    <x:mergeCell ref="A20:D20"/>
    <x:mergeCell ref="A27:F28"/>
  </x:mergeCells>
  <x:conditionalFormatting sqref="D23:D25">
    <x:cfRule type="containsText" dxfId="2" priority="1" operator="containsText" text="達成"/>
    <x:cfRule type="containsText" dxfId="3" priority="2" operator="containsText" text="未達"/>
  </x:conditionalFormatting>
  <x:pageMargins left="0.7" right="0.7" top="0.75" bottom="0.75" header="0.3" footer="0.3"/>
  <x:tableParts count="3">
    <x:tablePart xmlns:r="http://schemas.openxmlformats.org/officeDocument/2006/relationships" r:id="R379992af9f3342e6"/>
    <x:tablePart xmlns:r="http://schemas.openxmlformats.org/officeDocument/2006/relationships" r:id="R0009761815664fff"/>
    <x:tablePart xmlns:r="http://schemas.openxmlformats.org/officeDocument/2006/relationships" r:id="R3b3e20b484a54367"/>
  </x:tableParts>
</x:worksheet>
</file>